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E009236A-EFDB-44D4-80AD-3D35542BF889}" xr6:coauthVersionLast="47" xr6:coauthVersionMax="47" xr10:uidLastSave="{00000000-0000-0000-0000-000000000000}"/>
  <bookViews>
    <workbookView xWindow="-120" yWindow="-120" windowWidth="20730" windowHeight="11040" tabRatio="880" firstSheet="8" activeTab="1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16" i="3" l="1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CF116" i="3" s="1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 s="1"/>
  <c r="B116" i="3"/>
  <c r="BK117" i="14"/>
  <c r="BD117" i="14"/>
  <c r="BC117" i="14"/>
  <c r="BB117" i="14"/>
  <c r="AX117" i="14"/>
  <c r="AW117" i="14"/>
  <c r="AV117" i="14"/>
  <c r="AU117" i="14"/>
  <c r="AT117" i="14"/>
  <c r="AR117" i="14"/>
  <c r="AQ117" i="14"/>
  <c r="AP117" i="14"/>
  <c r="AO117" i="14"/>
  <c r="AN117" i="14"/>
  <c r="AM117" i="14"/>
  <c r="BA117" i="14" s="1"/>
  <c r="AL117" i="14"/>
  <c r="AZ117" i="14" s="1"/>
  <c r="BM117" i="14" s="1"/>
  <c r="AK117" i="14"/>
  <c r="AY117" i="14" s="1"/>
  <c r="BL117" i="14" s="1"/>
  <c r="AJ117" i="14"/>
  <c r="AI117" i="14"/>
  <c r="AH117" i="14"/>
  <c r="AG117" i="14"/>
  <c r="AF117" i="14"/>
  <c r="AE117" i="14"/>
  <c r="AS117" i="14" s="1"/>
  <c r="AC117" i="14"/>
  <c r="BQ117" i="14" s="1"/>
  <c r="Y117" i="14"/>
  <c r="X117" i="14"/>
  <c r="W117" i="14"/>
  <c r="V117" i="14"/>
  <c r="BJ117" i="14" s="1"/>
  <c r="U117" i="14"/>
  <c r="BI117" i="14" s="1"/>
  <c r="P117" i="14"/>
  <c r="Q117" i="14" s="1"/>
  <c r="O117" i="14"/>
  <c r="N117" i="14"/>
  <c r="AB117" i="14" s="1"/>
  <c r="BP117" i="14" s="1"/>
  <c r="M117" i="14"/>
  <c r="AA117" i="14" s="1"/>
  <c r="BO117" i="14" s="1"/>
  <c r="L117" i="14"/>
  <c r="Z117" i="14" s="1"/>
  <c r="K117" i="14"/>
  <c r="J117" i="14"/>
  <c r="I117" i="14"/>
  <c r="H117" i="14"/>
  <c r="G117" i="14"/>
  <c r="F117" i="14"/>
  <c r="T117" i="14" s="1"/>
  <c r="BH117" i="14" s="1"/>
  <c r="E117" i="14"/>
  <c r="S117" i="14" s="1"/>
  <c r="BG117" i="14" s="1"/>
  <c r="D117" i="14"/>
  <c r="R117" i="14" s="1"/>
  <c r="C117" i="14"/>
  <c r="A117" i="14"/>
  <c r="CD116" i="2"/>
  <c r="CC116" i="2"/>
  <c r="CB116" i="2"/>
  <c r="CA116" i="2"/>
  <c r="BZ116" i="2"/>
  <c r="BY116" i="2"/>
  <c r="BX116" i="2"/>
  <c r="BW116" i="2"/>
  <c r="BV116" i="2"/>
  <c r="BU116" i="2"/>
  <c r="BT116" i="2"/>
  <c r="BS116" i="2"/>
  <c r="BR116" i="2"/>
  <c r="BQ116" i="2"/>
  <c r="BP116" i="2"/>
  <c r="BO116" i="2"/>
  <c r="BN116" i="2"/>
  <c r="BM116" i="2"/>
  <c r="BL116" i="2"/>
  <c r="CF116" i="2" s="1"/>
  <c r="BK116" i="2"/>
  <c r="BJ116" i="2"/>
  <c r="BI116" i="2"/>
  <c r="BH116" i="2"/>
  <c r="BG116" i="2"/>
  <c r="BF116" i="2"/>
  <c r="BE116" i="2"/>
  <c r="BD116" i="2"/>
  <c r="BC116" i="2"/>
  <c r="BB116" i="2"/>
  <c r="BA116" i="2"/>
  <c r="AZ116" i="2"/>
  <c r="AY116" i="2"/>
  <c r="AX116" i="2"/>
  <c r="AW116" i="2"/>
  <c r="AV116" i="2"/>
  <c r="AU116" i="2"/>
  <c r="AT116" i="2"/>
  <c r="AS116" i="2"/>
  <c r="AR116" i="2"/>
  <c r="AQ116" i="2"/>
  <c r="AP116" i="2"/>
  <c r="AO116" i="2"/>
  <c r="AN116" i="2"/>
  <c r="AM116" i="2"/>
  <c r="AL116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C115" i="3"/>
  <c r="CB115" i="3"/>
  <c r="BY115" i="3"/>
  <c r="BX115" i="3"/>
  <c r="BU115" i="3"/>
  <c r="BT115" i="3"/>
  <c r="BQ115" i="3"/>
  <c r="BP115" i="3"/>
  <c r="BM115" i="3"/>
  <c r="BL115" i="3"/>
  <c r="CF115" i="3" s="1"/>
  <c r="BI115" i="3"/>
  <c r="BH115" i="3"/>
  <c r="BE115" i="3"/>
  <c r="BD115" i="3"/>
  <c r="BA115" i="3"/>
  <c r="AZ115" i="3"/>
  <c r="AW115" i="3"/>
  <c r="AV115" i="3"/>
  <c r="AS115" i="3"/>
  <c r="AR115" i="3"/>
  <c r="AO115" i="3"/>
  <c r="AN115" i="3"/>
  <c r="AK115" i="3"/>
  <c r="AJ115" i="3"/>
  <c r="AG115" i="3"/>
  <c r="AF115" i="3"/>
  <c r="AC115" i="3"/>
  <c r="AB115" i="3"/>
  <c r="Y115" i="3"/>
  <c r="X115" i="3"/>
  <c r="U115" i="3"/>
  <c r="T115" i="3"/>
  <c r="Q115" i="3"/>
  <c r="P115" i="3"/>
  <c r="M115" i="3"/>
  <c r="L115" i="3"/>
  <c r="I115" i="3"/>
  <c r="H115" i="3"/>
  <c r="E115" i="3"/>
  <c r="D115" i="3"/>
  <c r="C115" i="3"/>
  <c r="A115" i="3" s="1"/>
  <c r="B115" i="3"/>
  <c r="AQ116" i="14"/>
  <c r="AR116" i="14" s="1"/>
  <c r="AO116" i="14"/>
  <c r="AN116" i="14"/>
  <c r="AJ116" i="14"/>
  <c r="AI116" i="14"/>
  <c r="AG116" i="14"/>
  <c r="AF116" i="14"/>
  <c r="P116" i="14"/>
  <c r="N116" i="14"/>
  <c r="M116" i="14"/>
  <c r="L116" i="14"/>
  <c r="I116" i="14"/>
  <c r="H116" i="14"/>
  <c r="F116" i="14"/>
  <c r="E116" i="14"/>
  <c r="D116" i="14"/>
  <c r="C116" i="14"/>
  <c r="CB115" i="2"/>
  <c r="BY115" i="2"/>
  <c r="BT115" i="2"/>
  <c r="BQ115" i="2"/>
  <c r="BL115" i="2"/>
  <c r="BI115" i="2"/>
  <c r="BD115" i="2"/>
  <c r="BA115" i="2"/>
  <c r="AV115" i="2"/>
  <c r="AS115" i="2"/>
  <c r="AN115" i="2"/>
  <c r="AK115" i="2"/>
  <c r="AF115" i="2"/>
  <c r="AC115" i="2"/>
  <c r="X115" i="2"/>
  <c r="U115" i="2"/>
  <c r="P115" i="2"/>
  <c r="M115" i="2"/>
  <c r="H115" i="2"/>
  <c r="E115" i="2"/>
  <c r="C115" i="2"/>
  <c r="B115" i="2"/>
  <c r="A115" i="2"/>
  <c r="CD113" i="1"/>
  <c r="CD115" i="2" s="1"/>
  <c r="CC113" i="1"/>
  <c r="CB113" i="1"/>
  <c r="CA113" i="1"/>
  <c r="CA115" i="3" s="1"/>
  <c r="BZ113" i="1"/>
  <c r="BY113" i="1"/>
  <c r="BX113" i="1"/>
  <c r="BX115" i="2" s="1"/>
  <c r="BW113" i="1"/>
  <c r="BW115" i="3" s="1"/>
  <c r="BV113" i="1"/>
  <c r="BV115" i="3" s="1"/>
  <c r="BU113" i="1"/>
  <c r="BT113" i="1"/>
  <c r="BS113" i="1"/>
  <c r="BS115" i="3" s="1"/>
  <c r="BR113" i="1"/>
  <c r="BQ113" i="1"/>
  <c r="BP113" i="1"/>
  <c r="BP115" i="2" s="1"/>
  <c r="CF115" i="2" s="1"/>
  <c r="BO113" i="1"/>
  <c r="BO115" i="3" s="1"/>
  <c r="BN113" i="1"/>
  <c r="BN115" i="2" s="1"/>
  <c r="BM113" i="1"/>
  <c r="BL113" i="1"/>
  <c r="BK113" i="1"/>
  <c r="BK115" i="3" s="1"/>
  <c r="BJ113" i="1"/>
  <c r="BI113" i="1"/>
  <c r="BH113" i="1"/>
  <c r="AM116" i="14" s="1"/>
  <c r="BG113" i="1"/>
  <c r="BG115" i="3" s="1"/>
  <c r="BF113" i="1"/>
  <c r="BF115" i="2" s="1"/>
  <c r="BE113" i="1"/>
  <c r="BD113" i="1"/>
  <c r="BC113" i="1"/>
  <c r="BC115" i="3" s="1"/>
  <c r="BB113" i="1"/>
  <c r="BA113" i="1"/>
  <c r="AZ113" i="1"/>
  <c r="AE116" i="14" s="1"/>
  <c r="AY113" i="1"/>
  <c r="AY115" i="3" s="1"/>
  <c r="AX113" i="1"/>
  <c r="AX115" i="2" s="1"/>
  <c r="AW113" i="1"/>
  <c r="AV113" i="1"/>
  <c r="AU113" i="1"/>
  <c r="AU115" i="3" s="1"/>
  <c r="AT113" i="1"/>
  <c r="AS113" i="1"/>
  <c r="AR113" i="1"/>
  <c r="AR115" i="2" s="1"/>
  <c r="AQ113" i="1"/>
  <c r="AQ115" i="3" s="1"/>
  <c r="AP113" i="1"/>
  <c r="AP115" i="3" s="1"/>
  <c r="AO113" i="1"/>
  <c r="AN113" i="1"/>
  <c r="AM113" i="1"/>
  <c r="AM115" i="3" s="1"/>
  <c r="AL113" i="1"/>
  <c r="AK113" i="1"/>
  <c r="AJ113" i="1"/>
  <c r="AJ115" i="2" s="1"/>
  <c r="AI113" i="1"/>
  <c r="AI115" i="3" s="1"/>
  <c r="AH113" i="1"/>
  <c r="AH115" i="2" s="1"/>
  <c r="AG113" i="1"/>
  <c r="AF113" i="1"/>
  <c r="AE113" i="1"/>
  <c r="AE115" i="3" s="1"/>
  <c r="AD113" i="1"/>
  <c r="AC113" i="1"/>
  <c r="AB113" i="1"/>
  <c r="AB115" i="2" s="1"/>
  <c r="AA113" i="1"/>
  <c r="AA115" i="3" s="1"/>
  <c r="Z113" i="1"/>
  <c r="Z115" i="2" s="1"/>
  <c r="Y113" i="1"/>
  <c r="X113" i="1"/>
  <c r="W113" i="1"/>
  <c r="W115" i="3" s="1"/>
  <c r="V113" i="1"/>
  <c r="U113" i="1"/>
  <c r="T113" i="1"/>
  <c r="T115" i="2" s="1"/>
  <c r="S113" i="1"/>
  <c r="S115" i="3" s="1"/>
  <c r="R113" i="1"/>
  <c r="R115" i="3" s="1"/>
  <c r="Q113" i="1"/>
  <c r="P113" i="1"/>
  <c r="O113" i="1"/>
  <c r="O115" i="3" s="1"/>
  <c r="N113" i="1"/>
  <c r="M113" i="1"/>
  <c r="L113" i="1"/>
  <c r="L115" i="2" s="1"/>
  <c r="K113" i="1"/>
  <c r="K115" i="3" s="1"/>
  <c r="J113" i="1"/>
  <c r="J115" i="2" s="1"/>
  <c r="I113" i="1"/>
  <c r="H113" i="1"/>
  <c r="G113" i="1"/>
  <c r="G115" i="3" s="1"/>
  <c r="F113" i="1"/>
  <c r="E113" i="1"/>
  <c r="D113" i="1"/>
  <c r="D115" i="2" s="1"/>
  <c r="C113" i="1"/>
  <c r="B113" i="1"/>
  <c r="A113" i="1"/>
  <c r="A116" i="14" s="1"/>
  <c r="B114" i="3"/>
  <c r="C114" i="3" s="1"/>
  <c r="A114" i="3" s="1"/>
  <c r="AL115" i="14"/>
  <c r="M115" i="14"/>
  <c r="L115" i="14"/>
  <c r="E115" i="14"/>
  <c r="D115" i="14"/>
  <c r="C115" i="14"/>
  <c r="C114" i="2"/>
  <c r="B114" i="2"/>
  <c r="CD112" i="1"/>
  <c r="CC112" i="1"/>
  <c r="CB112" i="1"/>
  <c r="CA112" i="1"/>
  <c r="BZ112" i="1"/>
  <c r="BZ115" i="2" s="1"/>
  <c r="BY112" i="1"/>
  <c r="BX112" i="1"/>
  <c r="BW112" i="1"/>
  <c r="BV112" i="1"/>
  <c r="BU112" i="1"/>
  <c r="BU115" i="2" s="1"/>
  <c r="BT112" i="1"/>
  <c r="BS112" i="1"/>
  <c r="BR112" i="1"/>
  <c r="BR115" i="2" s="1"/>
  <c r="BQ112" i="1"/>
  <c r="BP112" i="1"/>
  <c r="AQ115" i="14" s="1"/>
  <c r="BO112" i="1"/>
  <c r="BN112" i="1"/>
  <c r="BM112" i="1"/>
  <c r="BL112" i="1"/>
  <c r="BK112" i="1"/>
  <c r="AP115" i="14" s="1"/>
  <c r="BJ112" i="1"/>
  <c r="AO115" i="14" s="1"/>
  <c r="BI112" i="1"/>
  <c r="AN115" i="14" s="1"/>
  <c r="BH112" i="1"/>
  <c r="BG112" i="1"/>
  <c r="BF112" i="1"/>
  <c r="BE112" i="1"/>
  <c r="BD112" i="1"/>
  <c r="AI115" i="14" s="1"/>
  <c r="BC112" i="1"/>
  <c r="AH115" i="14" s="1"/>
  <c r="BB112" i="1"/>
  <c r="AG115" i="14" s="1"/>
  <c r="BA112" i="1"/>
  <c r="AF115" i="14" s="1"/>
  <c r="AZ112" i="1"/>
  <c r="AY112" i="1"/>
  <c r="AX112" i="1"/>
  <c r="AW112" i="1"/>
  <c r="AW115" i="2" s="1"/>
  <c r="AV112" i="1"/>
  <c r="AU112" i="1"/>
  <c r="AT112" i="1"/>
  <c r="AT115" i="2" s="1"/>
  <c r="AS112" i="1"/>
  <c r="AR112" i="1"/>
  <c r="AQ112" i="1"/>
  <c r="AP112" i="1"/>
  <c r="AO112" i="1"/>
  <c r="AN112" i="1"/>
  <c r="AM112" i="1"/>
  <c r="AL112" i="1"/>
  <c r="AL115" i="2" s="1"/>
  <c r="AK112" i="1"/>
  <c r="AJ112" i="1"/>
  <c r="AI112" i="1"/>
  <c r="AH112" i="1"/>
  <c r="AG112" i="1"/>
  <c r="AF112" i="1"/>
  <c r="AE112" i="1"/>
  <c r="AD112" i="1"/>
  <c r="AD115" i="2" s="1"/>
  <c r="AC112" i="1"/>
  <c r="AB112" i="1"/>
  <c r="AA112" i="1"/>
  <c r="Z112" i="1"/>
  <c r="Y112" i="1"/>
  <c r="X112" i="1"/>
  <c r="W112" i="1"/>
  <c r="V112" i="1"/>
  <c r="V115" i="2" s="1"/>
  <c r="U112" i="1"/>
  <c r="T112" i="1"/>
  <c r="S112" i="1"/>
  <c r="R112" i="1"/>
  <c r="Q112" i="1"/>
  <c r="P112" i="1"/>
  <c r="O112" i="1"/>
  <c r="N112" i="1"/>
  <c r="N115" i="14" s="1"/>
  <c r="M112" i="1"/>
  <c r="L112" i="1"/>
  <c r="K112" i="1"/>
  <c r="J112" i="1"/>
  <c r="I112" i="1"/>
  <c r="H112" i="1"/>
  <c r="G112" i="1"/>
  <c r="F112" i="1"/>
  <c r="F115" i="14" s="1"/>
  <c r="E112" i="1"/>
  <c r="D112" i="1"/>
  <c r="C112" i="1"/>
  <c r="B112" i="1"/>
  <c r="A112" i="1"/>
  <c r="A115" i="14" s="1"/>
  <c r="B113" i="3"/>
  <c r="C113" i="3" s="1"/>
  <c r="A113" i="3" s="1"/>
  <c r="C114" i="14"/>
  <c r="C113" i="2"/>
  <c r="B113" i="2"/>
  <c r="CD111" i="1"/>
  <c r="CC111" i="1"/>
  <c r="CB111" i="1"/>
  <c r="CA111" i="1"/>
  <c r="BZ111" i="1"/>
  <c r="BY111" i="1"/>
  <c r="BY114" i="2" s="1"/>
  <c r="BX111" i="1"/>
  <c r="BW111" i="1"/>
  <c r="BV111" i="1"/>
  <c r="BU111" i="1"/>
  <c r="BT111" i="1"/>
  <c r="BS111" i="1"/>
  <c r="BR111" i="1"/>
  <c r="BQ111" i="1"/>
  <c r="BQ114" i="2" s="1"/>
  <c r="BP111" i="1"/>
  <c r="BO111" i="1"/>
  <c r="BN111" i="1"/>
  <c r="BM111" i="1"/>
  <c r="BL111" i="1"/>
  <c r="BK111" i="1"/>
  <c r="AP114" i="14" s="1"/>
  <c r="BJ111" i="1"/>
  <c r="AO114" i="14" s="1"/>
  <c r="BI111" i="1"/>
  <c r="BI114" i="2" s="1"/>
  <c r="BH111" i="1"/>
  <c r="AM114" i="14" s="1"/>
  <c r="BG111" i="1"/>
  <c r="AL114" i="14" s="1"/>
  <c r="BF111" i="1"/>
  <c r="BE111" i="1"/>
  <c r="BD111" i="1"/>
  <c r="BC111" i="1"/>
  <c r="AH114" i="14" s="1"/>
  <c r="BB111" i="1"/>
  <c r="BA111" i="1"/>
  <c r="AZ111" i="1"/>
  <c r="AE114" i="14" s="1"/>
  <c r="AY111" i="1"/>
  <c r="AX111" i="1"/>
  <c r="AW111" i="1"/>
  <c r="AV111" i="1"/>
  <c r="AU111" i="1"/>
  <c r="AT111" i="1"/>
  <c r="AS111" i="1"/>
  <c r="AS114" i="2" s="1"/>
  <c r="AR111" i="1"/>
  <c r="AQ111" i="1"/>
  <c r="AP111" i="1"/>
  <c r="AO111" i="1"/>
  <c r="AN111" i="1"/>
  <c r="AM111" i="1"/>
  <c r="AL111" i="1"/>
  <c r="AK111" i="1"/>
  <c r="AK114" i="2" s="1"/>
  <c r="AJ111" i="1"/>
  <c r="AI111" i="1"/>
  <c r="AH111" i="1"/>
  <c r="AG111" i="1"/>
  <c r="AF111" i="1"/>
  <c r="AE111" i="1"/>
  <c r="AD111" i="1"/>
  <c r="AC111" i="1"/>
  <c r="AC114" i="2" s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M114" i="2" s="1"/>
  <c r="L111" i="1"/>
  <c r="L114" i="14" s="1"/>
  <c r="K111" i="1"/>
  <c r="K114" i="14" s="1"/>
  <c r="J111" i="1"/>
  <c r="I111" i="1"/>
  <c r="H111" i="1"/>
  <c r="G111" i="1"/>
  <c r="F111" i="1"/>
  <c r="E111" i="1"/>
  <c r="E114" i="2" s="1"/>
  <c r="D111" i="1"/>
  <c r="D114" i="14" s="1"/>
  <c r="C111" i="1"/>
  <c r="B111" i="1"/>
  <c r="A111" i="1"/>
  <c r="A114" i="14" s="1"/>
  <c r="B112" i="3"/>
  <c r="C112" i="3" s="1"/>
  <c r="A112" i="3" s="1"/>
  <c r="C113" i="14"/>
  <c r="C112" i="2"/>
  <c r="B112" i="2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AQ113" i="14" s="1"/>
  <c r="BO110" i="1"/>
  <c r="BN110" i="1"/>
  <c r="BM110" i="1"/>
  <c r="BL110" i="1"/>
  <c r="P113" i="14" s="1"/>
  <c r="BK110" i="1"/>
  <c r="AP113" i="14" s="1"/>
  <c r="BJ110" i="1"/>
  <c r="BI110" i="1"/>
  <c r="AN113" i="14" s="1"/>
  <c r="BH110" i="1"/>
  <c r="BG110" i="1"/>
  <c r="AL113" i="14" s="1"/>
  <c r="BF110" i="1"/>
  <c r="AK113" i="14" s="1"/>
  <c r="BE110" i="1"/>
  <c r="AJ113" i="14" s="1"/>
  <c r="BD110" i="1"/>
  <c r="AI113" i="14" s="1"/>
  <c r="BC110" i="1"/>
  <c r="AH113" i="14" s="1"/>
  <c r="BB110" i="1"/>
  <c r="BA110" i="1"/>
  <c r="AF113" i="14" s="1"/>
  <c r="AZ110" i="1"/>
  <c r="AE113" i="14" s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O113" i="14" s="1"/>
  <c r="N110" i="1"/>
  <c r="M110" i="1"/>
  <c r="M113" i="14" s="1"/>
  <c r="L110" i="1"/>
  <c r="K110" i="1"/>
  <c r="K113" i="14" s="1"/>
  <c r="J110" i="1"/>
  <c r="I110" i="1"/>
  <c r="I113" i="14" s="1"/>
  <c r="H110" i="1"/>
  <c r="H113" i="14" s="1"/>
  <c r="G110" i="1"/>
  <c r="G113" i="14" s="1"/>
  <c r="F110" i="1"/>
  <c r="E110" i="1"/>
  <c r="E113" i="14" s="1"/>
  <c r="D110" i="1"/>
  <c r="D113" i="14" s="1"/>
  <c r="C110" i="1"/>
  <c r="B110" i="1"/>
  <c r="A110" i="1"/>
  <c r="A113" i="14" s="1"/>
  <c r="B111" i="3"/>
  <c r="C111" i="3" s="1"/>
  <c r="A111" i="3" s="1"/>
  <c r="C112" i="14"/>
  <c r="C111" i="2"/>
  <c r="B111" i="2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P112" i="14" s="1"/>
  <c r="BK109" i="1"/>
  <c r="AP112" i="14" s="1"/>
  <c r="BJ109" i="1"/>
  <c r="AO112" i="14" s="1"/>
  <c r="BI109" i="1"/>
  <c r="AN112" i="14" s="1"/>
  <c r="BH109" i="1"/>
  <c r="AM112" i="14" s="1"/>
  <c r="BG109" i="1"/>
  <c r="BF109" i="1"/>
  <c r="BE109" i="1"/>
  <c r="BD109" i="1"/>
  <c r="BC109" i="1"/>
  <c r="AH112" i="14" s="1"/>
  <c r="BB109" i="1"/>
  <c r="AG112" i="14" s="1"/>
  <c r="BA109" i="1"/>
  <c r="AF112" i="14" s="1"/>
  <c r="AZ109" i="1"/>
  <c r="AE112" i="14" s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O112" i="14" s="1"/>
  <c r="N109" i="1"/>
  <c r="N112" i="14" s="1"/>
  <c r="M109" i="1"/>
  <c r="M112" i="14" s="1"/>
  <c r="L109" i="1"/>
  <c r="L112" i="14" s="1"/>
  <c r="K109" i="1"/>
  <c r="J109" i="1"/>
  <c r="J112" i="14" s="1"/>
  <c r="I109" i="1"/>
  <c r="H109" i="1"/>
  <c r="H112" i="14" s="1"/>
  <c r="G109" i="1"/>
  <c r="G112" i="14" s="1"/>
  <c r="F109" i="1"/>
  <c r="F112" i="14" s="1"/>
  <c r="E109" i="1"/>
  <c r="E112" i="14" s="1"/>
  <c r="D109" i="1"/>
  <c r="D112" i="14" s="1"/>
  <c r="C109" i="1"/>
  <c r="B109" i="1"/>
  <c r="A109" i="1"/>
  <c r="A111" i="2" s="1"/>
  <c r="C110" i="3"/>
  <c r="A110" i="3" s="1"/>
  <c r="B110" i="3"/>
  <c r="C111" i="14"/>
  <c r="C110" i="2"/>
  <c r="B110" i="2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AO111" i="14" s="1"/>
  <c r="BI108" i="1"/>
  <c r="AN111" i="14" s="1"/>
  <c r="BH108" i="1"/>
  <c r="AM111" i="14" s="1"/>
  <c r="BG108" i="1"/>
  <c r="AL111" i="14" s="1"/>
  <c r="BF108" i="1"/>
  <c r="BE108" i="1"/>
  <c r="BD108" i="1"/>
  <c r="BC108" i="1"/>
  <c r="BB108" i="1"/>
  <c r="AG111" i="14" s="1"/>
  <c r="BA108" i="1"/>
  <c r="AF111" i="14" s="1"/>
  <c r="AZ108" i="1"/>
  <c r="AE111" i="14" s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N111" i="14" s="1"/>
  <c r="M108" i="1"/>
  <c r="M111" i="14" s="1"/>
  <c r="L108" i="1"/>
  <c r="L111" i="14" s="1"/>
  <c r="K108" i="1"/>
  <c r="K111" i="14" s="1"/>
  <c r="J108" i="1"/>
  <c r="I108" i="1"/>
  <c r="H108" i="1"/>
  <c r="G108" i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P107" i="14" s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O107" i="14" s="1"/>
  <c r="N104" i="1"/>
  <c r="N107" i="14" s="1"/>
  <c r="M104" i="1"/>
  <c r="M107" i="14" s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Z115" i="3" s="1"/>
  <c r="BY101" i="1"/>
  <c r="BX101" i="1"/>
  <c r="BW101" i="1"/>
  <c r="BV101" i="1"/>
  <c r="BU101" i="1"/>
  <c r="BT101" i="1"/>
  <c r="BS101" i="1"/>
  <c r="BR101" i="1"/>
  <c r="BR115" i="3" s="1"/>
  <c r="BQ101" i="1"/>
  <c r="BP101" i="1"/>
  <c r="BO101" i="1"/>
  <c r="BN101" i="1"/>
  <c r="BM101" i="1"/>
  <c r="BL101" i="1"/>
  <c r="BK101" i="1"/>
  <c r="AP104" i="14" s="1"/>
  <c r="BJ101" i="1"/>
  <c r="BJ115" i="3" s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T115" i="3" s="1"/>
  <c r="AS101" i="1"/>
  <c r="AR101" i="1"/>
  <c r="AQ101" i="1"/>
  <c r="AP101" i="1"/>
  <c r="AO101" i="1"/>
  <c r="AN101" i="1"/>
  <c r="AM101" i="1"/>
  <c r="AL101" i="1"/>
  <c r="AL115" i="3" s="1"/>
  <c r="AK101" i="1"/>
  <c r="AJ101" i="1"/>
  <c r="AI101" i="1"/>
  <c r="AH101" i="1"/>
  <c r="AG101" i="1"/>
  <c r="AF101" i="1"/>
  <c r="AE101" i="1"/>
  <c r="AD101" i="1"/>
  <c r="AD115" i="3" s="1"/>
  <c r="AC101" i="1"/>
  <c r="AB101" i="1"/>
  <c r="AA101" i="1"/>
  <c r="Z101" i="1"/>
  <c r="Y101" i="1"/>
  <c r="X101" i="1"/>
  <c r="W101" i="1"/>
  <c r="V101" i="1"/>
  <c r="V115" i="3" s="1"/>
  <c r="U101" i="1"/>
  <c r="T101" i="1"/>
  <c r="S101" i="1"/>
  <c r="R101" i="1"/>
  <c r="Q101" i="1"/>
  <c r="P101" i="1"/>
  <c r="O101" i="1"/>
  <c r="N101" i="1"/>
  <c r="N115" i="3" s="1"/>
  <c r="M101" i="1"/>
  <c r="L101" i="1"/>
  <c r="K101" i="1"/>
  <c r="J101" i="1"/>
  <c r="I101" i="1"/>
  <c r="H101" i="1"/>
  <c r="G101" i="1"/>
  <c r="F101" i="1"/>
  <c r="F115" i="3" s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Z114" i="3" s="1"/>
  <c r="BY100" i="1"/>
  <c r="BY114" i="3" s="1"/>
  <c r="BX100" i="1"/>
  <c r="BX114" i="3" s="1"/>
  <c r="BW100" i="1"/>
  <c r="BV100" i="1"/>
  <c r="BU100" i="1"/>
  <c r="BT100" i="1"/>
  <c r="BS100" i="1"/>
  <c r="BR100" i="1"/>
  <c r="BR114" i="3" s="1"/>
  <c r="BQ100" i="1"/>
  <c r="BQ114" i="3" s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T114" i="3" s="1"/>
  <c r="AS100" i="1"/>
  <c r="AS114" i="3" s="1"/>
  <c r="AR100" i="1"/>
  <c r="AR114" i="3" s="1"/>
  <c r="AQ100" i="1"/>
  <c r="AP100" i="1"/>
  <c r="AO100" i="1"/>
  <c r="AN100" i="1"/>
  <c r="AM100" i="1"/>
  <c r="AL100" i="1"/>
  <c r="AL114" i="3" s="1"/>
  <c r="AK100" i="1"/>
  <c r="AK114" i="3" s="1"/>
  <c r="AJ100" i="1"/>
  <c r="AJ114" i="3" s="1"/>
  <c r="AI100" i="1"/>
  <c r="AH100" i="1"/>
  <c r="AG100" i="1"/>
  <c r="AF100" i="1"/>
  <c r="AE100" i="1"/>
  <c r="AD100" i="1"/>
  <c r="AD114" i="3" s="1"/>
  <c r="AC100" i="1"/>
  <c r="AC114" i="3" s="1"/>
  <c r="AB100" i="1"/>
  <c r="AB114" i="3" s="1"/>
  <c r="AA100" i="1"/>
  <c r="Z100" i="1"/>
  <c r="Y100" i="1"/>
  <c r="X100" i="1"/>
  <c r="W100" i="1"/>
  <c r="V100" i="1"/>
  <c r="V114" i="3" s="1"/>
  <c r="U100" i="1"/>
  <c r="U114" i="3" s="1"/>
  <c r="T100" i="1"/>
  <c r="T114" i="3" s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Z109" i="3" s="1"/>
  <c r="BY95" i="1"/>
  <c r="BY109" i="3" s="1"/>
  <c r="BX95" i="1"/>
  <c r="BW95" i="1"/>
  <c r="BV95" i="1"/>
  <c r="BU95" i="1"/>
  <c r="BT95" i="1"/>
  <c r="BS95" i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T109" i="3" s="1"/>
  <c r="AS95" i="1"/>
  <c r="AS109" i="3" s="1"/>
  <c r="AR95" i="1"/>
  <c r="AQ95" i="1"/>
  <c r="AP95" i="1"/>
  <c r="AO95" i="1"/>
  <c r="AN95" i="1"/>
  <c r="AM95" i="1"/>
  <c r="AL95" i="1"/>
  <c r="AL109" i="3" s="1"/>
  <c r="AK95" i="1"/>
  <c r="AK109" i="3" s="1"/>
  <c r="AJ95" i="1"/>
  <c r="AI95" i="1"/>
  <c r="AH95" i="1"/>
  <c r="AG95" i="1"/>
  <c r="AF95" i="1"/>
  <c r="AE95" i="1"/>
  <c r="AD95" i="1"/>
  <c r="AD109" i="3" s="1"/>
  <c r="AC95" i="1"/>
  <c r="AC109" i="3" s="1"/>
  <c r="AB95" i="1"/>
  <c r="AA95" i="1"/>
  <c r="Z95" i="1"/>
  <c r="Y95" i="1"/>
  <c r="X95" i="1"/>
  <c r="W95" i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BF117" i="14" l="1"/>
  <c r="BN117" i="14"/>
  <c r="G114" i="3"/>
  <c r="O114" i="3"/>
  <c r="W114" i="3"/>
  <c r="AE114" i="3"/>
  <c r="AM114" i="3"/>
  <c r="AU114" i="3"/>
  <c r="BS114" i="3"/>
  <c r="CA114" i="3"/>
  <c r="F115" i="2"/>
  <c r="N115" i="2"/>
  <c r="BB115" i="2"/>
  <c r="BJ115" i="2"/>
  <c r="F114" i="2"/>
  <c r="N114" i="2"/>
  <c r="V114" i="2"/>
  <c r="AD114" i="2"/>
  <c r="AL114" i="2"/>
  <c r="AT114" i="2"/>
  <c r="BB114" i="2"/>
  <c r="BR114" i="2"/>
  <c r="BZ114" i="2"/>
  <c r="H114" i="3"/>
  <c r="P114" i="3"/>
  <c r="X114" i="3"/>
  <c r="AF114" i="3"/>
  <c r="AN114" i="3"/>
  <c r="AV114" i="3"/>
  <c r="BL114" i="3"/>
  <c r="CF114" i="3" s="1"/>
  <c r="BT114" i="3"/>
  <c r="CB114" i="3"/>
  <c r="G115" i="2"/>
  <c r="O115" i="2"/>
  <c r="W115" i="2"/>
  <c r="AE115" i="2"/>
  <c r="AM115" i="2"/>
  <c r="AU115" i="2"/>
  <c r="BC115" i="2"/>
  <c r="BK115" i="2"/>
  <c r="BS115" i="2"/>
  <c r="CA115" i="2"/>
  <c r="AH116" i="14"/>
  <c r="AP116" i="14"/>
  <c r="BB115" i="3"/>
  <c r="I114" i="3"/>
  <c r="Y114" i="3"/>
  <c r="AO114" i="3"/>
  <c r="BE114" i="3"/>
  <c r="BM114" i="3"/>
  <c r="CC114" i="3"/>
  <c r="G116" i="14"/>
  <c r="O116" i="14"/>
  <c r="Z114" i="3"/>
  <c r="AX114" i="3"/>
  <c r="BN114" i="3"/>
  <c r="CD114" i="3"/>
  <c r="I115" i="2"/>
  <c r="Y115" i="2"/>
  <c r="AK112" i="3"/>
  <c r="BQ112" i="3"/>
  <c r="S114" i="3"/>
  <c r="AI114" i="3"/>
  <c r="AQ114" i="3"/>
  <c r="BG114" i="3"/>
  <c r="R115" i="2"/>
  <c r="AP115" i="2"/>
  <c r="BV115" i="2"/>
  <c r="AK116" i="14"/>
  <c r="AF113" i="2"/>
  <c r="AN113" i="2"/>
  <c r="Q113" i="14"/>
  <c r="BT113" i="2"/>
  <c r="D114" i="2"/>
  <c r="L114" i="2"/>
  <c r="T114" i="2"/>
  <c r="AB114" i="2"/>
  <c r="AJ114" i="2"/>
  <c r="AR114" i="2"/>
  <c r="AZ114" i="2"/>
  <c r="BH114" i="2"/>
  <c r="BX114" i="2"/>
  <c r="AJ115" i="14"/>
  <c r="K115" i="2"/>
  <c r="S115" i="2"/>
  <c r="AA115" i="2"/>
  <c r="AI115" i="2"/>
  <c r="AQ115" i="2"/>
  <c r="AY115" i="2"/>
  <c r="BG115" i="2"/>
  <c r="BO115" i="2"/>
  <c r="BW115" i="2"/>
  <c r="J116" i="14"/>
  <c r="AL116" i="14"/>
  <c r="J115" i="3"/>
  <c r="Z115" i="3"/>
  <c r="AH115" i="3"/>
  <c r="AX115" i="3"/>
  <c r="BF115" i="3"/>
  <c r="BN115" i="3"/>
  <c r="CD115" i="3"/>
  <c r="Q114" i="3"/>
  <c r="AG114" i="3"/>
  <c r="AW114" i="3"/>
  <c r="BU114" i="3"/>
  <c r="J114" i="3"/>
  <c r="R114" i="3"/>
  <c r="AH114" i="3"/>
  <c r="AP114" i="3"/>
  <c r="BF114" i="3"/>
  <c r="BV114" i="3"/>
  <c r="Q115" i="2"/>
  <c r="AG115" i="2"/>
  <c r="AO115" i="2"/>
  <c r="BE115" i="2"/>
  <c r="BM115" i="2"/>
  <c r="CC115" i="2"/>
  <c r="U112" i="3"/>
  <c r="AC112" i="3"/>
  <c r="AS112" i="3"/>
  <c r="K114" i="3"/>
  <c r="AA114" i="3"/>
  <c r="AY114" i="3"/>
  <c r="BO114" i="3"/>
  <c r="BW114" i="3"/>
  <c r="AK115" i="14"/>
  <c r="AZ115" i="2"/>
  <c r="BH115" i="2"/>
  <c r="K116" i="14"/>
  <c r="BC115" i="14"/>
  <c r="U113" i="3"/>
  <c r="BA113" i="3"/>
  <c r="U114" i="2"/>
  <c r="BA114" i="2"/>
  <c r="D114" i="3"/>
  <c r="L114" i="3"/>
  <c r="AZ114" i="3"/>
  <c r="BH114" i="3"/>
  <c r="BP114" i="3"/>
  <c r="BJ114" i="2"/>
  <c r="S115" i="14"/>
  <c r="E114" i="3"/>
  <c r="M114" i="3"/>
  <c r="BA114" i="3"/>
  <c r="BI114" i="3"/>
  <c r="G114" i="2"/>
  <c r="O114" i="2"/>
  <c r="W114" i="2"/>
  <c r="AE114" i="2"/>
  <c r="AM114" i="2"/>
  <c r="AU114" i="2"/>
  <c r="BC114" i="2"/>
  <c r="BK114" i="2"/>
  <c r="BS114" i="2"/>
  <c r="CA114" i="2"/>
  <c r="F114" i="3"/>
  <c r="N114" i="3"/>
  <c r="BB114" i="3"/>
  <c r="BJ114" i="3"/>
  <c r="AJ112" i="3"/>
  <c r="AR112" i="2"/>
  <c r="BP112" i="2"/>
  <c r="BX112" i="2"/>
  <c r="H114" i="2"/>
  <c r="P114" i="2"/>
  <c r="X114" i="2"/>
  <c r="AF114" i="2"/>
  <c r="AN114" i="2"/>
  <c r="AV114" i="2"/>
  <c r="BD114" i="2"/>
  <c r="BL114" i="2"/>
  <c r="BT114" i="2"/>
  <c r="CB114" i="2"/>
  <c r="G115" i="14"/>
  <c r="O115" i="14"/>
  <c r="AC115" i="14" s="1"/>
  <c r="AE115" i="14"/>
  <c r="AS116" i="14" s="1"/>
  <c r="AM115" i="14"/>
  <c r="BA116" i="14" s="1"/>
  <c r="BC114" i="3"/>
  <c r="BK114" i="3"/>
  <c r="BY112" i="3"/>
  <c r="W113" i="2"/>
  <c r="AE113" i="2"/>
  <c r="AM113" i="2"/>
  <c r="AU113" i="2"/>
  <c r="BS113" i="2"/>
  <c r="CA113" i="2"/>
  <c r="A114" i="2"/>
  <c r="I114" i="2"/>
  <c r="Q114" i="2"/>
  <c r="Y114" i="2"/>
  <c r="AG114" i="2"/>
  <c r="AO114" i="2"/>
  <c r="AW114" i="2"/>
  <c r="BE114" i="2"/>
  <c r="BM114" i="2"/>
  <c r="BU114" i="2"/>
  <c r="CC114" i="2"/>
  <c r="H115" i="14"/>
  <c r="V116" i="14" s="1"/>
  <c r="P115" i="14"/>
  <c r="Q115" i="14" s="1"/>
  <c r="BD114" i="3"/>
  <c r="J114" i="2"/>
  <c r="R114" i="2"/>
  <c r="Z114" i="2"/>
  <c r="AH114" i="2"/>
  <c r="AP114" i="2"/>
  <c r="AX114" i="2"/>
  <c r="BF114" i="2"/>
  <c r="BN114" i="2"/>
  <c r="BV114" i="2"/>
  <c r="CD114" i="2"/>
  <c r="I115" i="14"/>
  <c r="W116" i="14" s="1"/>
  <c r="S113" i="2"/>
  <c r="AA113" i="2"/>
  <c r="AI113" i="2"/>
  <c r="AQ113" i="2"/>
  <c r="AY113" i="2"/>
  <c r="BO113" i="2"/>
  <c r="BW113" i="2"/>
  <c r="K114" i="2"/>
  <c r="S114" i="2"/>
  <c r="AA114" i="2"/>
  <c r="AI114" i="2"/>
  <c r="AQ114" i="2"/>
  <c r="AY114" i="2"/>
  <c r="BG114" i="2"/>
  <c r="BO114" i="2"/>
  <c r="BW114" i="2"/>
  <c r="J115" i="14"/>
  <c r="AF112" i="3"/>
  <c r="AN112" i="3"/>
  <c r="T113" i="3"/>
  <c r="BP114" i="2"/>
  <c r="K115" i="14"/>
  <c r="AZ113" i="3"/>
  <c r="T113" i="2"/>
  <c r="AB113" i="2"/>
  <c r="AJ113" i="2"/>
  <c r="AR113" i="2"/>
  <c r="BP113" i="2"/>
  <c r="BX113" i="2"/>
  <c r="Y112" i="3"/>
  <c r="AO112" i="3"/>
  <c r="AW112" i="3"/>
  <c r="BU112" i="3"/>
  <c r="CC112" i="3"/>
  <c r="E113" i="2"/>
  <c r="M113" i="2"/>
  <c r="U113" i="2"/>
  <c r="AC113" i="2"/>
  <c r="AK113" i="2"/>
  <c r="AS113" i="2"/>
  <c r="BA113" i="2"/>
  <c r="BI113" i="2"/>
  <c r="BQ113" i="2"/>
  <c r="BY113" i="2"/>
  <c r="AB113" i="3"/>
  <c r="BH113" i="3"/>
  <c r="F113" i="3"/>
  <c r="N113" i="3"/>
  <c r="V113" i="3"/>
  <c r="AD113" i="3"/>
  <c r="AL113" i="3"/>
  <c r="AT113" i="3"/>
  <c r="BB113" i="3"/>
  <c r="BJ113" i="3"/>
  <c r="BR113" i="3"/>
  <c r="BZ113" i="3"/>
  <c r="F114" i="14"/>
  <c r="T115" i="14" s="1"/>
  <c r="AC113" i="3"/>
  <c r="BI113" i="3"/>
  <c r="Q112" i="3"/>
  <c r="AG112" i="3"/>
  <c r="BM112" i="3"/>
  <c r="G113" i="3"/>
  <c r="O113" i="3"/>
  <c r="W113" i="3"/>
  <c r="AE113" i="3"/>
  <c r="AM113" i="3"/>
  <c r="AU113" i="3"/>
  <c r="BC113" i="3"/>
  <c r="BK113" i="3"/>
  <c r="BS113" i="3"/>
  <c r="CA113" i="3"/>
  <c r="G114" i="14"/>
  <c r="D113" i="3"/>
  <c r="AJ113" i="3"/>
  <c r="BP113" i="3"/>
  <c r="H113" i="3"/>
  <c r="P113" i="3"/>
  <c r="X113" i="3"/>
  <c r="AF113" i="3"/>
  <c r="AN113" i="3"/>
  <c r="AV113" i="3"/>
  <c r="BD113" i="3"/>
  <c r="BL113" i="3"/>
  <c r="CF113" i="3" s="1"/>
  <c r="BT113" i="3"/>
  <c r="CB113" i="3"/>
  <c r="N114" i="14"/>
  <c r="E113" i="3"/>
  <c r="AK113" i="3"/>
  <c r="BQ113" i="3"/>
  <c r="BD113" i="14"/>
  <c r="I113" i="3"/>
  <c r="Q113" i="3"/>
  <c r="Y113" i="3"/>
  <c r="AG113" i="3"/>
  <c r="AO113" i="3"/>
  <c r="AW113" i="3"/>
  <c r="BE113" i="3"/>
  <c r="BM113" i="3"/>
  <c r="BU113" i="3"/>
  <c r="CC113" i="3"/>
  <c r="O114" i="14"/>
  <c r="AC114" i="14" s="1"/>
  <c r="L113" i="3"/>
  <c r="AR113" i="3"/>
  <c r="BX113" i="3"/>
  <c r="J113" i="3"/>
  <c r="R113" i="3"/>
  <c r="Z113" i="3"/>
  <c r="AH113" i="3"/>
  <c r="AP113" i="3"/>
  <c r="AX113" i="3"/>
  <c r="BF113" i="3"/>
  <c r="BN113" i="3"/>
  <c r="BV113" i="3"/>
  <c r="CD113" i="3"/>
  <c r="AG114" i="14"/>
  <c r="AU115" i="14" s="1"/>
  <c r="M113" i="3"/>
  <c r="AS113" i="3"/>
  <c r="BY113" i="3"/>
  <c r="Y114" i="14"/>
  <c r="AZ114" i="14"/>
  <c r="AS114" i="14"/>
  <c r="R114" i="14"/>
  <c r="BF114" i="14" s="1"/>
  <c r="U114" i="14"/>
  <c r="O113" i="2"/>
  <c r="BX109" i="3"/>
  <c r="T111" i="2"/>
  <c r="AB111" i="2"/>
  <c r="AJ112" i="2"/>
  <c r="F112" i="2"/>
  <c r="N112" i="2"/>
  <c r="V112" i="2"/>
  <c r="AD112" i="2"/>
  <c r="AL112" i="2"/>
  <c r="AT112" i="2"/>
  <c r="BB112" i="2"/>
  <c r="BJ112" i="2"/>
  <c r="BR112" i="2"/>
  <c r="BZ112" i="2"/>
  <c r="BT112" i="3"/>
  <c r="F113" i="2"/>
  <c r="N113" i="2"/>
  <c r="V113" i="2"/>
  <c r="AD113" i="2"/>
  <c r="AL113" i="2"/>
  <c r="AT113" i="2"/>
  <c r="BB113" i="2"/>
  <c r="BJ113" i="2"/>
  <c r="BR113" i="2"/>
  <c r="BZ113" i="2"/>
  <c r="E114" i="14"/>
  <c r="S114" i="14" s="1"/>
  <c r="M114" i="14"/>
  <c r="AA114" i="14" s="1"/>
  <c r="AF114" i="14"/>
  <c r="AT114" i="14" s="1"/>
  <c r="AN114" i="14"/>
  <c r="BB114" i="14" s="1"/>
  <c r="K113" i="3"/>
  <c r="S113" i="3"/>
  <c r="AA113" i="3"/>
  <c r="AI113" i="3"/>
  <c r="AQ113" i="3"/>
  <c r="AY113" i="3"/>
  <c r="BG113" i="3"/>
  <c r="BO113" i="3"/>
  <c r="BW113" i="3"/>
  <c r="P112" i="3"/>
  <c r="X112" i="3"/>
  <c r="AV112" i="3"/>
  <c r="CB112" i="3"/>
  <c r="H113" i="2"/>
  <c r="P113" i="2"/>
  <c r="X113" i="2"/>
  <c r="AV113" i="2"/>
  <c r="BD113" i="2"/>
  <c r="BL113" i="2"/>
  <c r="CB113" i="2"/>
  <c r="AV114" i="14"/>
  <c r="BD114" i="14"/>
  <c r="BC113" i="2"/>
  <c r="A113" i="2"/>
  <c r="I113" i="2"/>
  <c r="Q113" i="2"/>
  <c r="Y113" i="2"/>
  <c r="AG113" i="2"/>
  <c r="AO113" i="2"/>
  <c r="AW113" i="2"/>
  <c r="BE113" i="2"/>
  <c r="BM113" i="2"/>
  <c r="BU113" i="2"/>
  <c r="CC113" i="2"/>
  <c r="H114" i="14"/>
  <c r="V114" i="14" s="1"/>
  <c r="P114" i="14"/>
  <c r="Q114" i="14" s="1"/>
  <c r="AI114" i="14"/>
  <c r="AW114" i="14" s="1"/>
  <c r="AQ114" i="14"/>
  <c r="AR114" i="14" s="1"/>
  <c r="G113" i="2"/>
  <c r="BK113" i="2"/>
  <c r="J113" i="2"/>
  <c r="R113" i="2"/>
  <c r="Z113" i="2"/>
  <c r="AH113" i="2"/>
  <c r="AP113" i="2"/>
  <c r="AX113" i="2"/>
  <c r="BF113" i="2"/>
  <c r="BN113" i="2"/>
  <c r="BV113" i="2"/>
  <c r="CD113" i="2"/>
  <c r="I114" i="14"/>
  <c r="W114" i="14" s="1"/>
  <c r="AJ114" i="14"/>
  <c r="AX114" i="14" s="1"/>
  <c r="BJ109" i="2"/>
  <c r="BR109" i="2"/>
  <c r="I111" i="2"/>
  <c r="Q111" i="2"/>
  <c r="Y111" i="2"/>
  <c r="AG111" i="2"/>
  <c r="AO111" i="2"/>
  <c r="AW111" i="2"/>
  <c r="BE111" i="2"/>
  <c r="BM111" i="2"/>
  <c r="BU111" i="2"/>
  <c r="CC111" i="2"/>
  <c r="K113" i="2"/>
  <c r="BG113" i="2"/>
  <c r="J114" i="14"/>
  <c r="AK114" i="14"/>
  <c r="AY114" i="14" s="1"/>
  <c r="L112" i="3"/>
  <c r="T112" i="3"/>
  <c r="AB112" i="3"/>
  <c r="AR112" i="3"/>
  <c r="BH112" i="3"/>
  <c r="BX112" i="3"/>
  <c r="D113" i="2"/>
  <c r="L113" i="2"/>
  <c r="AZ113" i="2"/>
  <c r="BH113" i="2"/>
  <c r="AT113" i="14"/>
  <c r="BB113" i="14"/>
  <c r="AZ112" i="3"/>
  <c r="P112" i="2"/>
  <c r="X112" i="2"/>
  <c r="AF112" i="2"/>
  <c r="AN112" i="2"/>
  <c r="AV112" i="2"/>
  <c r="BD112" i="2"/>
  <c r="BT112" i="2"/>
  <c r="CB112" i="2"/>
  <c r="J112" i="3"/>
  <c r="R112" i="3"/>
  <c r="Z112" i="3"/>
  <c r="AH112" i="3"/>
  <c r="AP112" i="3"/>
  <c r="AX112" i="3"/>
  <c r="BF112" i="3"/>
  <c r="BN112" i="3"/>
  <c r="BV112" i="3"/>
  <c r="CD112" i="3"/>
  <c r="AM113" i="14"/>
  <c r="BA114" i="14" s="1"/>
  <c r="BD112" i="3"/>
  <c r="K112" i="2"/>
  <c r="S112" i="2"/>
  <c r="AA112" i="2"/>
  <c r="AI112" i="2"/>
  <c r="AQ112" i="2"/>
  <c r="AY112" i="2"/>
  <c r="BO112" i="2"/>
  <c r="BW112" i="2"/>
  <c r="L113" i="14"/>
  <c r="Z113" i="14" s="1"/>
  <c r="BL112" i="3"/>
  <c r="D112" i="3"/>
  <c r="BP112" i="3"/>
  <c r="R113" i="14"/>
  <c r="H112" i="3"/>
  <c r="U112" i="2"/>
  <c r="AC112" i="2"/>
  <c r="AK112" i="2"/>
  <c r="AS112" i="2"/>
  <c r="BQ112" i="2"/>
  <c r="BY112" i="2"/>
  <c r="G112" i="3"/>
  <c r="O112" i="3"/>
  <c r="W112" i="3"/>
  <c r="AE112" i="3"/>
  <c r="AM112" i="3"/>
  <c r="AU112" i="3"/>
  <c r="BC112" i="3"/>
  <c r="BK112" i="3"/>
  <c r="BS112" i="3"/>
  <c r="CA112" i="3"/>
  <c r="AV113" i="14"/>
  <c r="A112" i="2"/>
  <c r="G112" i="2"/>
  <c r="O112" i="2"/>
  <c r="W112" i="2"/>
  <c r="AE112" i="2"/>
  <c r="AM112" i="2"/>
  <c r="AU112" i="2"/>
  <c r="BC112" i="2"/>
  <c r="BK112" i="2"/>
  <c r="BS112" i="2"/>
  <c r="CA112" i="2"/>
  <c r="F113" i="14"/>
  <c r="T113" i="14" s="1"/>
  <c r="N113" i="14"/>
  <c r="AB113" i="14" s="1"/>
  <c r="K112" i="3"/>
  <c r="S112" i="3"/>
  <c r="AA112" i="3"/>
  <c r="AI112" i="3"/>
  <c r="AQ112" i="3"/>
  <c r="AY112" i="3"/>
  <c r="BG112" i="3"/>
  <c r="BO112" i="3"/>
  <c r="BW112" i="3"/>
  <c r="I112" i="2"/>
  <c r="Q112" i="2"/>
  <c r="Y112" i="2"/>
  <c r="AG112" i="2"/>
  <c r="AO112" i="2"/>
  <c r="AW112" i="2"/>
  <c r="BE112" i="2"/>
  <c r="BM112" i="2"/>
  <c r="BU112" i="2"/>
  <c r="CC112" i="2"/>
  <c r="V113" i="14"/>
  <c r="E112" i="3"/>
  <c r="M112" i="3"/>
  <c r="BA112" i="3"/>
  <c r="BI112" i="3"/>
  <c r="H112" i="2"/>
  <c r="BL112" i="2"/>
  <c r="CF112" i="2" s="1"/>
  <c r="U113" i="14"/>
  <c r="AC113" i="14"/>
  <c r="AG113" i="14"/>
  <c r="AU113" i="14" s="1"/>
  <c r="AO113" i="14"/>
  <c r="BC113" i="14" s="1"/>
  <c r="J112" i="2"/>
  <c r="R112" i="2"/>
  <c r="Z112" i="2"/>
  <c r="AH112" i="2"/>
  <c r="AP112" i="2"/>
  <c r="AX112" i="2"/>
  <c r="BF112" i="2"/>
  <c r="BN112" i="2"/>
  <c r="BV112" i="2"/>
  <c r="CD112" i="2"/>
  <c r="F112" i="3"/>
  <c r="N112" i="3"/>
  <c r="V112" i="3"/>
  <c r="AD112" i="3"/>
  <c r="AL112" i="3"/>
  <c r="AT112" i="3"/>
  <c r="BB112" i="3"/>
  <c r="BJ112" i="3"/>
  <c r="BR112" i="3"/>
  <c r="BZ112" i="3"/>
  <c r="BG112" i="2"/>
  <c r="J113" i="14"/>
  <c r="X113" i="14" s="1"/>
  <c r="L112" i="2"/>
  <c r="T112" i="2"/>
  <c r="AB112" i="2"/>
  <c r="AZ112" i="2"/>
  <c r="BH112" i="2"/>
  <c r="BS109" i="3"/>
  <c r="E112" i="2"/>
  <c r="M112" i="2"/>
  <c r="BA112" i="2"/>
  <c r="BI112" i="2"/>
  <c r="I112" i="3"/>
  <c r="BE112" i="3"/>
  <c r="D112" i="2"/>
  <c r="CA109" i="3"/>
  <c r="S113" i="14"/>
  <c r="AA113" i="14"/>
  <c r="AS113" i="14"/>
  <c r="BA113" i="14"/>
  <c r="K111" i="3"/>
  <c r="S111" i="3"/>
  <c r="AA111" i="3"/>
  <c r="AI111" i="3"/>
  <c r="AQ111" i="3"/>
  <c r="AY111" i="3"/>
  <c r="BG111" i="3"/>
  <c r="BO111" i="3"/>
  <c r="BW111" i="3"/>
  <c r="BG111" i="2"/>
  <c r="AE109" i="3"/>
  <c r="AJ111" i="2"/>
  <c r="AR111" i="2"/>
  <c r="BP111" i="2"/>
  <c r="BX111" i="2"/>
  <c r="BO111" i="2"/>
  <c r="W109" i="3"/>
  <c r="U111" i="2"/>
  <c r="AC111" i="2"/>
  <c r="AK111" i="2"/>
  <c r="AS111" i="2"/>
  <c r="BQ111" i="2"/>
  <c r="BY111" i="2"/>
  <c r="K111" i="2"/>
  <c r="BW111" i="2"/>
  <c r="AU109" i="3"/>
  <c r="V111" i="2"/>
  <c r="AD111" i="2"/>
  <c r="AL111" i="2"/>
  <c r="AT111" i="2"/>
  <c r="BR111" i="2"/>
  <c r="BZ111" i="2"/>
  <c r="S111" i="2"/>
  <c r="A112" i="14"/>
  <c r="AM109" i="3"/>
  <c r="W111" i="2"/>
  <c r="AE111" i="2"/>
  <c r="AM111" i="2"/>
  <c r="AU111" i="2"/>
  <c r="BS111" i="2"/>
  <c r="CA111" i="2"/>
  <c r="AA111" i="2"/>
  <c r="P111" i="2"/>
  <c r="X111" i="2"/>
  <c r="AF111" i="2"/>
  <c r="AN111" i="2"/>
  <c r="AV111" i="2"/>
  <c r="BD111" i="2"/>
  <c r="BT111" i="2"/>
  <c r="CB111" i="2"/>
  <c r="AI111" i="2"/>
  <c r="AQ111" i="2"/>
  <c r="AJ112" i="14"/>
  <c r="AX113" i="14" s="1"/>
  <c r="J111" i="3"/>
  <c r="R111" i="3"/>
  <c r="Z111" i="3"/>
  <c r="AH111" i="3"/>
  <c r="AP111" i="3"/>
  <c r="AX111" i="3"/>
  <c r="BF111" i="3"/>
  <c r="BN111" i="3"/>
  <c r="BV111" i="3"/>
  <c r="CD111" i="3"/>
  <c r="AY111" i="2"/>
  <c r="J111" i="2"/>
  <c r="R111" i="2"/>
  <c r="Z111" i="2"/>
  <c r="AH111" i="2"/>
  <c r="AP111" i="2"/>
  <c r="AX111" i="2"/>
  <c r="BF111" i="2"/>
  <c r="BN111" i="2"/>
  <c r="BV111" i="2"/>
  <c r="CD111" i="2"/>
  <c r="I112" i="14"/>
  <c r="W113" i="14" s="1"/>
  <c r="AI112" i="14"/>
  <c r="AW113" i="14" s="1"/>
  <c r="AQ112" i="14"/>
  <c r="AR113" i="14" s="1"/>
  <c r="D111" i="3"/>
  <c r="L111" i="3"/>
  <c r="T111" i="3"/>
  <c r="AB111" i="3"/>
  <c r="AJ111" i="3"/>
  <c r="AR111" i="3"/>
  <c r="AZ111" i="3"/>
  <c r="BH111" i="3"/>
  <c r="BP111" i="3"/>
  <c r="BX111" i="3"/>
  <c r="E111" i="3"/>
  <c r="U111" i="3"/>
  <c r="AC111" i="3"/>
  <c r="AK111" i="3"/>
  <c r="AS111" i="3"/>
  <c r="BA111" i="3"/>
  <c r="BI111" i="3"/>
  <c r="BY111" i="3"/>
  <c r="D111" i="2"/>
  <c r="L111" i="2"/>
  <c r="AZ111" i="2"/>
  <c r="BH111" i="2"/>
  <c r="K112" i="14"/>
  <c r="Y113" i="14" s="1"/>
  <c r="AK112" i="14"/>
  <c r="AY113" i="14" s="1"/>
  <c r="F111" i="3"/>
  <c r="N111" i="3"/>
  <c r="V111" i="3"/>
  <c r="AD111" i="3"/>
  <c r="AL111" i="3"/>
  <c r="AT111" i="3"/>
  <c r="BB111" i="3"/>
  <c r="BJ111" i="3"/>
  <c r="BR111" i="3"/>
  <c r="BZ111" i="3"/>
  <c r="M111" i="3"/>
  <c r="BQ111" i="3"/>
  <c r="E111" i="2"/>
  <c r="M111" i="2"/>
  <c r="BA111" i="2"/>
  <c r="BI111" i="2"/>
  <c r="AL112" i="14"/>
  <c r="AZ113" i="14" s="1"/>
  <c r="G111" i="3"/>
  <c r="O111" i="3"/>
  <c r="W111" i="3"/>
  <c r="AE111" i="3"/>
  <c r="AM111" i="3"/>
  <c r="AU111" i="3"/>
  <c r="BC111" i="3"/>
  <c r="BK111" i="3"/>
  <c r="BS111" i="3"/>
  <c r="CA111" i="3"/>
  <c r="F111" i="2"/>
  <c r="N111" i="2"/>
  <c r="BB111" i="2"/>
  <c r="BJ111" i="2"/>
  <c r="H111" i="3"/>
  <c r="P111" i="3"/>
  <c r="X111" i="3"/>
  <c r="AF111" i="3"/>
  <c r="AN111" i="3"/>
  <c r="AV111" i="3"/>
  <c r="BD111" i="3"/>
  <c r="BL111" i="3"/>
  <c r="BT111" i="3"/>
  <c r="CB111" i="3"/>
  <c r="AN110" i="2"/>
  <c r="G111" i="2"/>
  <c r="O111" i="2"/>
  <c r="BC111" i="2"/>
  <c r="BK111" i="2"/>
  <c r="I111" i="3"/>
  <c r="Q111" i="3"/>
  <c r="Y111" i="3"/>
  <c r="AG111" i="3"/>
  <c r="AO111" i="3"/>
  <c r="AW111" i="3"/>
  <c r="BE111" i="3"/>
  <c r="BM111" i="3"/>
  <c r="BU111" i="3"/>
  <c r="CC111" i="3"/>
  <c r="I110" i="3"/>
  <c r="Q110" i="3"/>
  <c r="Y110" i="3"/>
  <c r="AG110" i="3"/>
  <c r="AO110" i="3"/>
  <c r="AW110" i="3"/>
  <c r="BE110" i="3"/>
  <c r="BM110" i="3"/>
  <c r="BU110" i="3"/>
  <c r="CC110" i="3"/>
  <c r="H111" i="2"/>
  <c r="BL111" i="2"/>
  <c r="J110" i="3"/>
  <c r="R110" i="3"/>
  <c r="Z110" i="3"/>
  <c r="AH110" i="3"/>
  <c r="AP110" i="3"/>
  <c r="AX110" i="3"/>
  <c r="BF110" i="3"/>
  <c r="BN110" i="3"/>
  <c r="BV110" i="3"/>
  <c r="CD110" i="3"/>
  <c r="BL110" i="2"/>
  <c r="S110" i="2"/>
  <c r="AA110" i="2"/>
  <c r="AI110" i="2"/>
  <c r="AQ110" i="2"/>
  <c r="AY110" i="2"/>
  <c r="BO110" i="2"/>
  <c r="BW110" i="2"/>
  <c r="T110" i="2"/>
  <c r="AB110" i="2"/>
  <c r="AJ110" i="2"/>
  <c r="AR110" i="2"/>
  <c r="BP110" i="2"/>
  <c r="BX110" i="2"/>
  <c r="H110" i="2"/>
  <c r="AF110" i="2"/>
  <c r="BT110" i="2"/>
  <c r="U110" i="2"/>
  <c r="AC110" i="2"/>
  <c r="AK110" i="2"/>
  <c r="AS110" i="2"/>
  <c r="BQ110" i="2"/>
  <c r="BY110" i="2"/>
  <c r="BD110" i="2"/>
  <c r="V110" i="2"/>
  <c r="AD110" i="2"/>
  <c r="AL110" i="2"/>
  <c r="AT110" i="2"/>
  <c r="BR110" i="2"/>
  <c r="BZ110" i="2"/>
  <c r="P110" i="2"/>
  <c r="X110" i="2"/>
  <c r="AV110" i="2"/>
  <c r="CB110" i="2"/>
  <c r="G110" i="2"/>
  <c r="O110" i="2"/>
  <c r="W110" i="2"/>
  <c r="AE110" i="2"/>
  <c r="AM110" i="2"/>
  <c r="AU110" i="2"/>
  <c r="BC110" i="2"/>
  <c r="BK110" i="2"/>
  <c r="BS110" i="2"/>
  <c r="CA110" i="2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O111" i="14"/>
  <c r="AH111" i="14"/>
  <c r="AP111" i="14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AS112" i="14" s="1"/>
  <c r="AI111" i="14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AK111" i="14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R117" i="14" l="1"/>
  <c r="Y116" i="14"/>
  <c r="AX116" i="14"/>
  <c r="BK116" i="14" s="1"/>
  <c r="AW116" i="14"/>
  <c r="BJ116" i="14" s="1"/>
  <c r="BD116" i="14"/>
  <c r="AV116" i="14"/>
  <c r="AU116" i="14"/>
  <c r="BG114" i="14"/>
  <c r="Q116" i="14"/>
  <c r="AZ116" i="14"/>
  <c r="AB116" i="14"/>
  <c r="BP116" i="14" s="1"/>
  <c r="AA116" i="14"/>
  <c r="AT116" i="14"/>
  <c r="AB115" i="14"/>
  <c r="BP115" i="14" s="1"/>
  <c r="X116" i="14"/>
  <c r="BL116" i="14" s="1"/>
  <c r="AY116" i="14"/>
  <c r="T116" i="14"/>
  <c r="S116" i="14"/>
  <c r="AC116" i="14"/>
  <c r="U116" i="14"/>
  <c r="Z116" i="14"/>
  <c r="BN116" i="14" s="1"/>
  <c r="R116" i="14"/>
  <c r="BF116" i="14" s="1"/>
  <c r="Y115" i="14"/>
  <c r="BM115" i="14" s="1"/>
  <c r="BA115" i="14"/>
  <c r="BC116" i="14"/>
  <c r="AS115" i="14"/>
  <c r="R115" i="14"/>
  <c r="BB116" i="14"/>
  <c r="CF112" i="3"/>
  <c r="BH115" i="14"/>
  <c r="V115" i="14"/>
  <c r="U115" i="14"/>
  <c r="BQ113" i="14"/>
  <c r="BD115" i="14"/>
  <c r="BQ115" i="14" s="1"/>
  <c r="AY115" i="14"/>
  <c r="AB114" i="14"/>
  <c r="X115" i="14"/>
  <c r="BL115" i="14" s="1"/>
  <c r="AV115" i="14"/>
  <c r="AW115" i="14"/>
  <c r="W115" i="14"/>
  <c r="CF114" i="2"/>
  <c r="AZ115" i="14"/>
  <c r="BB115" i="14"/>
  <c r="AR115" i="14"/>
  <c r="BG115" i="14"/>
  <c r="AA115" i="14"/>
  <c r="AX115" i="14"/>
  <c r="AT115" i="14"/>
  <c r="Z115" i="14"/>
  <c r="BN115" i="14" s="1"/>
  <c r="BF113" i="14"/>
  <c r="BG113" i="14"/>
  <c r="T114" i="14"/>
  <c r="BQ114" i="14"/>
  <c r="BO114" i="14"/>
  <c r="Z114" i="14"/>
  <c r="BM113" i="14"/>
  <c r="BI114" i="14"/>
  <c r="BJ114" i="14"/>
  <c r="CF113" i="2"/>
  <c r="BC114" i="14"/>
  <c r="BP114" i="14" s="1"/>
  <c r="BO113" i="14"/>
  <c r="X114" i="14"/>
  <c r="BL114" i="14" s="1"/>
  <c r="BK114" i="14"/>
  <c r="BI113" i="14"/>
  <c r="BN114" i="14"/>
  <c r="AU114" i="14"/>
  <c r="BM114" i="14"/>
  <c r="BL113" i="14"/>
  <c r="BK113" i="14"/>
  <c r="BH113" i="14"/>
  <c r="BN113" i="14"/>
  <c r="BJ113" i="14"/>
  <c r="V112" i="14"/>
  <c r="BP113" i="14"/>
  <c r="CF108" i="2"/>
  <c r="AV112" i="14"/>
  <c r="U112" i="14"/>
  <c r="AC112" i="14"/>
  <c r="AR112" i="14"/>
  <c r="AX112" i="14"/>
  <c r="CF111" i="2"/>
  <c r="X112" i="14"/>
  <c r="BC111" i="14"/>
  <c r="AU112" i="14"/>
  <c r="BI112" i="14"/>
  <c r="CF111" i="3"/>
  <c r="AY112" i="14"/>
  <c r="BD112" i="14"/>
  <c r="AB112" i="14"/>
  <c r="Y112" i="14"/>
  <c r="AW112" i="14"/>
  <c r="T112" i="14"/>
  <c r="BH112" i="14" s="1"/>
  <c r="CF110" i="3"/>
  <c r="W112" i="14"/>
  <c r="BB112" i="14"/>
  <c r="AT112" i="14"/>
  <c r="BA112" i="14"/>
  <c r="AA112" i="14"/>
  <c r="CF108" i="3"/>
  <c r="AZ112" i="14"/>
  <c r="R112" i="14"/>
  <c r="BF112" i="14" s="1"/>
  <c r="Z112" i="14"/>
  <c r="S112" i="14"/>
  <c r="Q112" i="14"/>
  <c r="BC112" i="14"/>
  <c r="BD111" i="14"/>
  <c r="BB111" i="14"/>
  <c r="AT111" i="14"/>
  <c r="AZ111" i="14"/>
  <c r="S111" i="14"/>
  <c r="Y111" i="14"/>
  <c r="AW111" i="14"/>
  <c r="BA111" i="14"/>
  <c r="AY111" i="14"/>
  <c r="AX111" i="14"/>
  <c r="Q111" i="14"/>
  <c r="CF110" i="2"/>
  <c r="BF111" i="14"/>
  <c r="S110" i="14"/>
  <c r="X111" i="14"/>
  <c r="W111" i="14"/>
  <c r="V111" i="14"/>
  <c r="AA111" i="14"/>
  <c r="BO111" i="14" s="1"/>
  <c r="AV111" i="14"/>
  <c r="AU111" i="14"/>
  <c r="AC111" i="14"/>
  <c r="AB111" i="14"/>
  <c r="AW110" i="14"/>
  <c r="U111" i="14"/>
  <c r="T111" i="14"/>
  <c r="Z111" i="14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U110" i="14"/>
  <c r="AV110" i="14"/>
  <c r="Z110" i="14"/>
  <c r="BA110" i="14"/>
  <c r="AS110" i="14"/>
  <c r="AX110" i="14"/>
  <c r="T110" i="14"/>
  <c r="BH110" i="14" s="1"/>
  <c r="BC110" i="14"/>
  <c r="AT110" i="14"/>
  <c r="Q110" i="14"/>
  <c r="CF109" i="2"/>
  <c r="V110" i="14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I116" i="14" l="1"/>
  <c r="BO116" i="14"/>
  <c r="BF115" i="14"/>
  <c r="BQ116" i="14"/>
  <c r="BG116" i="14"/>
  <c r="BR116" i="14" s="1"/>
  <c r="BM116" i="14"/>
  <c r="BH116" i="14"/>
  <c r="BO115" i="14"/>
  <c r="BK115" i="14"/>
  <c r="BI115" i="14"/>
  <c r="BJ115" i="14"/>
  <c r="BH114" i="14"/>
  <c r="BR114" i="14" s="1"/>
  <c r="BJ112" i="14"/>
  <c r="BR113" i="14"/>
  <c r="BK112" i="14"/>
  <c r="BK111" i="14"/>
  <c r="BQ112" i="14"/>
  <c r="BO110" i="14"/>
  <c r="BM111" i="14"/>
  <c r="BP111" i="14"/>
  <c r="BL112" i="14"/>
  <c r="BQ111" i="14"/>
  <c r="BG111" i="14"/>
  <c r="BP112" i="14"/>
  <c r="BG112" i="14"/>
  <c r="BN112" i="14"/>
  <c r="BO112" i="14"/>
  <c r="BM112" i="14"/>
  <c r="BG110" i="14"/>
  <c r="BL111" i="14"/>
  <c r="BF105" i="14"/>
  <c r="BJ110" i="14"/>
  <c r="BN111" i="14"/>
  <c r="BH111" i="14"/>
  <c r="BJ111" i="14"/>
  <c r="BI111" i="14"/>
  <c r="BN110" i="14"/>
  <c r="BP110" i="14"/>
  <c r="BQ110" i="14"/>
  <c r="BI110" i="14"/>
  <c r="BM109" i="14"/>
  <c r="BK110" i="14"/>
  <c r="BF110" i="14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15" i="14" l="1"/>
  <c r="BR112" i="14"/>
  <c r="BR110" i="14"/>
  <c r="BR111" i="14"/>
  <c r="BR109" i="14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G85" i="14" l="1"/>
  <c r="BR95" i="14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AI7" i="13" l="1"/>
  <c r="AH29" i="13"/>
  <c r="BK39" i="14"/>
  <c r="BI39" i="14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<sst xmlns="http://schemas.openxmlformats.org/spreadsheetml/2006/main" count="963" uniqueCount="153">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</sst>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  <c:pt idx="110" formatCode="0.00%">
                  <c:v>3.1290464977332455E-2</c:v>
                </c:pt>
                <c:pt idx="111" formatCode="0.00%">
                  <c:v>3.4687104392262524E-2</c:v>
                </c:pt>
                <c:pt idx="112" formatCode="0.00%">
                  <c:v>2.3706274555240769E-2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  <c:pt idx="107" formatCode="0.00%">
                  <c:v>2.489415958118002E-2</c:v>
                </c:pt>
                <c:pt idx="108" formatCode="0.00%">
                  <c:v>2.8808734356978949E-2</c:v>
                </c:pt>
                <c:pt idx="109" formatCode="0.00%">
                  <c:v>3.0184803261636306E-2</c:v>
                </c:pt>
                <c:pt idx="110" formatCode="0.00%">
                  <c:v>3.0192658253989535E-2</c:v>
                </c:pt>
                <c:pt idx="111" formatCode="0.00%">
                  <c:v>3.422480242596615E-2</c:v>
                </c:pt>
                <c:pt idx="112" formatCode="0.00%">
                  <c:v>2.5002570324790474E-2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  <c:pt idx="107" formatCode="0.00%">
                  <c:v>2.4852827280616552E-2</c:v>
                </c:pt>
                <c:pt idx="108" formatCode="0.00%">
                  <c:v>2.8292014605382887E-2</c:v>
                </c:pt>
                <c:pt idx="109" formatCode="0.00%">
                  <c:v>2.9644033619464327E-2</c:v>
                </c:pt>
                <c:pt idx="110" formatCode="0.00%">
                  <c:v>2.9613529374970637E-2</c:v>
                </c:pt>
                <c:pt idx="111" formatCode="0.00%">
                  <c:v>3.3799107064210743E-2</c:v>
                </c:pt>
                <c:pt idx="112" formatCode="0.00%">
                  <c:v>2.5256629303020084E-2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  <c:pt idx="107" formatCode="0.00%">
                  <c:v>2.4748870872465689E-2</c:v>
                </c:pt>
                <c:pt idx="108" formatCode="0.00%">
                  <c:v>2.8313516715476661E-2</c:v>
                </c:pt>
                <c:pt idx="109" formatCode="0.00%">
                  <c:v>2.8496842715682646E-2</c:v>
                </c:pt>
                <c:pt idx="110" formatCode="0.00%">
                  <c:v>2.8686125696586684E-2</c:v>
                </c:pt>
                <c:pt idx="111" formatCode="0.00%">
                  <c:v>3.3596880145612129E-2</c:v>
                </c:pt>
                <c:pt idx="112" formatCode="0.00%">
                  <c:v>2.6198987645306149E-2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  <c:pt idx="110" formatCode="0.00%">
                  <c:v>2.8173342837580106E-2</c:v>
                </c:pt>
                <c:pt idx="111" formatCode="0.00%">
                  <c:v>3.3034887479768793E-2</c:v>
                </c:pt>
                <c:pt idx="112" formatCode="0.00%">
                  <c:v>2.7062700154520059E-2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2.8504308700224357E-2</c:v>
                </c:pt>
                <c:pt idx="1">
                  <c:v>1.2751313421927479E-2</c:v>
                </c:pt>
                <c:pt idx="2">
                  <c:v>1.2950143399720782E-2</c:v>
                </c:pt>
                <c:pt idx="3">
                  <c:v>1.803644664052495E-2</c:v>
                </c:pt>
                <c:pt idx="4">
                  <c:v>1.7303095323675466E-2</c:v>
                </c:pt>
                <c:pt idx="5">
                  <c:v>2.0373502502535779E-2</c:v>
                </c:pt>
                <c:pt idx="6">
                  <c:v>2.312266576693256E-2</c:v>
                </c:pt>
                <c:pt idx="7">
                  <c:v>2.4974389921325058E-2</c:v>
                </c:pt>
                <c:pt idx="8">
                  <c:v>2.9231360334402323E-2</c:v>
                </c:pt>
                <c:pt idx="9">
                  <c:v>3.2018697348702219E-2</c:v>
                </c:pt>
                <c:pt idx="10">
                  <c:v>3.1290464977332455E-2</c:v>
                </c:pt>
                <c:pt idx="11">
                  <c:v>3.4687104392262524E-2</c:v>
                </c:pt>
                <c:pt idx="12">
                  <c:v>2.3706274555240769E-2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2.8020849967455463E-2</c:v>
                </c:pt>
                <c:pt idx="1">
                  <c:v>1.3733404112175052E-2</c:v>
                </c:pt>
                <c:pt idx="2">
                  <c:v>1.4541447415141295E-2</c:v>
                </c:pt>
                <c:pt idx="3">
                  <c:v>1.856971382087691E-2</c:v>
                </c:pt>
                <c:pt idx="4">
                  <c:v>1.8475699510283272E-2</c:v>
                </c:pt>
                <c:pt idx="5">
                  <c:v>2.0784270904638857E-2</c:v>
                </c:pt>
                <c:pt idx="6">
                  <c:v>2.34032582024577E-2</c:v>
                </c:pt>
                <c:pt idx="7">
                  <c:v>2.489415958118002E-2</c:v>
                </c:pt>
                <c:pt idx="8">
                  <c:v>2.8808734356978949E-2</c:v>
                </c:pt>
                <c:pt idx="9">
                  <c:v>3.0184803261636306E-2</c:v>
                </c:pt>
                <c:pt idx="10">
                  <c:v>3.0192658253989535E-2</c:v>
                </c:pt>
                <c:pt idx="11">
                  <c:v>3.422480242596615E-2</c:v>
                </c:pt>
                <c:pt idx="12">
                  <c:v>2.5002570324790474E-2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2.7920156390233597E-2</c:v>
                </c:pt>
                <c:pt idx="1">
                  <c:v>1.4599080955532528E-2</c:v>
                </c:pt>
                <c:pt idx="2">
                  <c:v>1.5219308921756269E-2</c:v>
                </c:pt>
                <c:pt idx="3">
                  <c:v>1.8732068346340558E-2</c:v>
                </c:pt>
                <c:pt idx="4">
                  <c:v>1.8536726191060948E-2</c:v>
                </c:pt>
                <c:pt idx="5">
                  <c:v>2.0891709320997265E-2</c:v>
                </c:pt>
                <c:pt idx="6">
                  <c:v>2.3415086838504795E-2</c:v>
                </c:pt>
                <c:pt idx="7">
                  <c:v>2.4852827280616552E-2</c:v>
                </c:pt>
                <c:pt idx="8">
                  <c:v>2.8292014605382887E-2</c:v>
                </c:pt>
                <c:pt idx="9">
                  <c:v>2.9644033619464327E-2</c:v>
                </c:pt>
                <c:pt idx="10">
                  <c:v>2.9613529374970637E-2</c:v>
                </c:pt>
                <c:pt idx="11">
                  <c:v>3.3799107064210743E-2</c:v>
                </c:pt>
                <c:pt idx="12">
                  <c:v>2.5256629303020084E-2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2.7676350255949611E-2</c:v>
                </c:pt>
                <c:pt idx="1">
                  <c:v>1.5163439517204891E-2</c:v>
                </c:pt>
                <c:pt idx="2">
                  <c:v>1.6314289096683643E-2</c:v>
                </c:pt>
                <c:pt idx="3">
                  <c:v>1.9287987231903614E-2</c:v>
                </c:pt>
                <c:pt idx="4">
                  <c:v>1.9263572562809195E-2</c:v>
                </c:pt>
                <c:pt idx="5">
                  <c:v>2.1056557796722997E-2</c:v>
                </c:pt>
                <c:pt idx="6">
                  <c:v>2.3532995768112963E-2</c:v>
                </c:pt>
                <c:pt idx="7">
                  <c:v>2.4748870872465689E-2</c:v>
                </c:pt>
                <c:pt idx="8">
                  <c:v>2.8313516715476661E-2</c:v>
                </c:pt>
                <c:pt idx="9">
                  <c:v>2.8496842715682646E-2</c:v>
                </c:pt>
                <c:pt idx="10">
                  <c:v>2.8686125696586684E-2</c:v>
                </c:pt>
                <c:pt idx="11">
                  <c:v>3.3596880145612129E-2</c:v>
                </c:pt>
                <c:pt idx="12">
                  <c:v>2.6198987645306149E-2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2.7452917023244927E-2</c:v>
                </c:pt>
                <c:pt idx="1">
                  <c:v>1.6435099364626282E-2</c:v>
                </c:pt>
                <c:pt idx="2">
                  <c:v>1.8209352879243301E-2</c:v>
                </c:pt>
                <c:pt idx="3">
                  <c:v>1.9805482283514531E-2</c:v>
                </c:pt>
                <c:pt idx="4">
                  <c:v>1.9529831860293001E-2</c:v>
                </c:pt>
                <c:pt idx="5">
                  <c:v>2.1050594042087312E-2</c:v>
                </c:pt>
                <c:pt idx="6">
                  <c:v>2.3412916233022996E-2</c:v>
                </c:pt>
                <c:pt idx="7">
                  <c:v>2.4563295754381542E-2</c:v>
                </c:pt>
                <c:pt idx="8">
                  <c:v>2.7861004716862148E-2</c:v>
                </c:pt>
                <c:pt idx="9">
                  <c:v>2.7163190275482085E-2</c:v>
                </c:pt>
                <c:pt idx="10">
                  <c:v>2.8173342837580106E-2</c:v>
                </c:pt>
                <c:pt idx="11">
                  <c:v>3.3034887479768793E-2</c:v>
                </c:pt>
                <c:pt idx="12">
                  <c:v>2.7062700154520059E-2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  <c:pt idx="110" formatCode="0.00%">
                  <c:v>3.1290464977332455E-2</c:v>
                </c:pt>
                <c:pt idx="111" formatCode="0.00%">
                  <c:v>3.4687104392262524E-2</c:v>
                </c:pt>
                <c:pt idx="112" formatCode="0.00%">
                  <c:v>2.3706274555240769E-2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  <c:pt idx="110" formatCode="0.00%">
                  <c:v>2.8173342837580106E-2</c:v>
                </c:pt>
                <c:pt idx="111" formatCode="0.00%">
                  <c:v>3.3034887479768793E-2</c:v>
                </c:pt>
                <c:pt idx="112" formatCode="0.00%">
                  <c:v>2.7062700154520059E-2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  <c:pt idx="98" formatCode="0.0%">
                  <c:v>0.33260035214080208</c:v>
                </c:pt>
                <c:pt idx="99" formatCode="0.0%">
                  <c:v>0.32526033669281662</c:v>
                </c:pt>
                <c:pt idx="100" formatCode="0.0%">
                  <c:v>0.31907791791959794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  <c:pt idx="95" formatCode="0.0%">
                  <c:v>0.31175939596295943</c:v>
                </c:pt>
                <c:pt idx="96" formatCode="0.0%">
                  <c:v>0.3144206668796381</c:v>
                </c:pt>
                <c:pt idx="97" formatCode="0.0%">
                  <c:v>0.32516769415013003</c:v>
                </c:pt>
                <c:pt idx="98" formatCode="0.0%">
                  <c:v>0.33208861850539506</c:v>
                </c:pt>
                <c:pt idx="99" formatCode="0.0%">
                  <c:v>0.3261109725907021</c:v>
                </c:pt>
                <c:pt idx="100" formatCode="0.0%">
                  <c:v>0.32221749732450311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  <c:pt idx="95" formatCode="0.0%">
                  <c:v>0.31384083996810652</c:v>
                </c:pt>
                <c:pt idx="96" formatCode="0.0%">
                  <c:v>0.31580889778602605</c:v>
                </c:pt>
                <c:pt idx="97" formatCode="0.0%">
                  <c:v>0.32557634559753157</c:v>
                </c:pt>
                <c:pt idx="98" formatCode="0.0%">
                  <c:v>0.33194368135814001</c:v>
                </c:pt>
                <c:pt idx="99" formatCode="0.0%">
                  <c:v>0.3257369046644456</c:v>
                </c:pt>
                <c:pt idx="100" formatCode="0.0%">
                  <c:v>0.32230168050414454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  <c:pt idx="95" formatCode="0.0%">
                  <c:v>0.3150278754294058</c:v>
                </c:pt>
                <c:pt idx="96" formatCode="0.0%">
                  <c:v>0.31680029430403711</c:v>
                </c:pt>
                <c:pt idx="97" formatCode="0.0%">
                  <c:v>0.32486419917747056</c:v>
                </c:pt>
                <c:pt idx="98" formatCode="0.0%">
                  <c:v>0.33079523848133441</c:v>
                </c:pt>
                <c:pt idx="99" formatCode="0.0%">
                  <c:v>0.32658611113994329</c:v>
                </c:pt>
                <c:pt idx="100" formatCode="0.0%">
                  <c:v>0.32467904310251194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  <c:pt idx="98" formatCode="0.0%">
                  <c:v>0.32979900015595853</c:v>
                </c:pt>
                <c:pt idx="99" formatCode="0.0%">
                  <c:v>0.32735796743695378</c:v>
                </c:pt>
                <c:pt idx="100" formatCode="0.0%">
                  <c:v>0.32685384947578133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  <c:pt idx="98" formatCode="0.0%">
                  <c:v>0.33260035214080208</c:v>
                </c:pt>
                <c:pt idx="99" formatCode="0.0%">
                  <c:v>0.32526033669281662</c:v>
                </c:pt>
                <c:pt idx="100" formatCode="0.0%">
                  <c:v>0.31907791791959794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  <c:pt idx="98" formatCode="0.0%">
                  <c:v>0.32979900015595853</c:v>
                </c:pt>
                <c:pt idx="99" formatCode="0.0%">
                  <c:v>0.32735796743695378</c:v>
                </c:pt>
                <c:pt idx="100" formatCode="0.0%">
                  <c:v>0.32685384947578133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152239</xdr:colOff>
      <xdr:row>118</xdr:row>
      <xdr:rowOff>49207</xdr:rowOff>
    </xdr:from>
    <xdr:to>
      <xdr:col>66</xdr:col>
      <xdr:colOff>3154</xdr:colOff>
      <xdr:row>137</xdr:row>
      <xdr:rowOff>127244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  <row r="109">
          <cell r="A109">
            <v>45962</v>
          </cell>
        </row>
        <row r="110">
          <cell r="A110">
            <v>45992</v>
          </cell>
        </row>
        <row r="111">
          <cell r="A111">
            <v>46023</v>
          </cell>
        </row>
        <row r="112">
          <cell r="A112">
            <v>46054</v>
          </cell>
        </row>
        <row r="113">
          <cell r="A113">
            <v>46082</v>
          </cell>
        </row>
        <row r="114">
          <cell r="A114">
            <v>46113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  <row r="109">
          <cell r="D109">
            <v>10323.419921875</v>
          </cell>
          <cell r="E109">
            <v>7270.57275390625</v>
          </cell>
          <cell r="F109">
            <v>7613.224609375</v>
          </cell>
          <cell r="G109">
            <v>10679.3037109375</v>
          </cell>
          <cell r="H109">
            <v>8221.6259765625</v>
          </cell>
          <cell r="I109">
            <v>11254.9833984375</v>
          </cell>
          <cell r="J109">
            <v>10399.5068359375</v>
          </cell>
          <cell r="K109">
            <v>8951.5380859375</v>
          </cell>
          <cell r="L109">
            <v>8797.9609375</v>
          </cell>
          <cell r="M109">
            <v>8974.3779296875</v>
          </cell>
          <cell r="N109">
            <v>11991.712890625</v>
          </cell>
          <cell r="O109">
            <v>9612.5751953125</v>
          </cell>
          <cell r="P109">
            <v>10377.267578125</v>
          </cell>
          <cell r="Q109">
            <v>7284.79443359375</v>
          </cell>
          <cell r="R109">
            <v>7687.74853515625</v>
          </cell>
          <cell r="S109">
            <v>10441.7255859375</v>
          </cell>
          <cell r="T109">
            <v>8250.5458984375</v>
          </cell>
          <cell r="U109">
            <v>11193.0419921875</v>
          </cell>
          <cell r="V109">
            <v>10370.955078125</v>
          </cell>
          <cell r="W109">
            <v>8950.26953125</v>
          </cell>
          <cell r="X109">
            <v>8832.5869140625</v>
          </cell>
          <cell r="Y109">
            <v>8958.9765625</v>
          </cell>
          <cell r="Z109">
            <v>11980.74609375</v>
          </cell>
          <cell r="AA109">
            <v>9626.2451171875</v>
          </cell>
          <cell r="AB109">
            <v>10409.7568359375</v>
          </cell>
          <cell r="AC109">
            <v>7286.841796875</v>
          </cell>
          <cell r="AD109">
            <v>7722.99658203125</v>
          </cell>
          <cell r="AE109">
            <v>10255.90625</v>
          </cell>
          <cell r="AF109">
            <v>8277.275390625</v>
          </cell>
          <cell r="AG109">
            <v>11217.9638671875</v>
          </cell>
          <cell r="AH109">
            <v>10371.7412109375</v>
          </cell>
          <cell r="AI109">
            <v>8958.4462890625</v>
          </cell>
          <cell r="AJ109">
            <v>8848.94140625</v>
          </cell>
          <cell r="AK109">
            <v>8998.6787109375</v>
          </cell>
          <cell r="AL109">
            <v>11960.17578125</v>
          </cell>
          <cell r="AM109">
            <v>9621.943359375</v>
          </cell>
          <cell r="AN109">
            <v>10423.794921875</v>
          </cell>
          <cell r="AO109">
            <v>7300.73046875</v>
          </cell>
          <cell r="AP109">
            <v>7766.71484375</v>
          </cell>
          <cell r="AQ109">
            <v>10242.6123046875</v>
          </cell>
          <cell r="AR109">
            <v>8286.6337890625</v>
          </cell>
          <cell r="AS109">
            <v>11069.7392578125</v>
          </cell>
          <cell r="AT109">
            <v>10341.05859375</v>
          </cell>
          <cell r="AU109">
            <v>8923.771484375</v>
          </cell>
          <cell r="AV109">
            <v>8867.67578125</v>
          </cell>
          <cell r="AW109">
            <v>8942.3828125</v>
          </cell>
          <cell r="AX109">
            <v>11961.3173828125</v>
          </cell>
          <cell r="AY109">
            <v>9651.5517578125</v>
          </cell>
          <cell r="AZ109">
            <v>10447.2919921875</v>
          </cell>
          <cell r="BA109">
            <v>7315.62548828125</v>
          </cell>
          <cell r="BB109">
            <v>7822.0283203125</v>
          </cell>
          <cell r="BC109">
            <v>10127.8134765625</v>
          </cell>
          <cell r="BD109">
            <v>8301.521484375</v>
          </cell>
          <cell r="BE109">
            <v>10955.583984375</v>
          </cell>
          <cell r="BF109">
            <v>10307.6669921875</v>
          </cell>
          <cell r="BG109">
            <v>8935.79296875</v>
          </cell>
          <cell r="BH109">
            <v>8908.1123046875</v>
          </cell>
          <cell r="BI109">
            <v>9024.8134765625</v>
          </cell>
          <cell r="BJ109">
            <v>11932.7236328125</v>
          </cell>
          <cell r="BK109">
            <v>9672.4462890625</v>
          </cell>
          <cell r="BL109">
            <v>9816.017578125</v>
          </cell>
          <cell r="BM109">
            <v>9824.5283203125</v>
          </cell>
          <cell r="BN109">
            <v>9864.9951171875</v>
          </cell>
          <cell r="BO109">
            <v>9878.3359375</v>
          </cell>
          <cell r="BP109">
            <v>9868.3935546875</v>
          </cell>
          <cell r="BQ109">
            <v>10399.533203125</v>
          </cell>
          <cell r="BR109">
            <v>7295.88232421875</v>
          </cell>
          <cell r="BS109">
            <v>7740.01318359375</v>
          </cell>
          <cell r="BT109">
            <v>10289.076171875</v>
          </cell>
          <cell r="BU109">
            <v>8281.0498046875</v>
          </cell>
          <cell r="BV109">
            <v>11076.3486328125</v>
          </cell>
          <cell r="BW109">
            <v>10343.388671875</v>
          </cell>
          <cell r="BX109">
            <v>8941.7041015625</v>
          </cell>
          <cell r="BY109">
            <v>8867.318359375</v>
          </cell>
          <cell r="BZ109">
            <v>8989.24609375</v>
          </cell>
          <cell r="CA109">
            <v>11954.330078125</v>
          </cell>
          <cell r="CB109">
            <v>9646.978515625</v>
          </cell>
          <cell r="CC109">
            <v>9856.8017578125</v>
          </cell>
          <cell r="CD109">
            <v>9856.8017578125</v>
          </cell>
        </row>
        <row r="110">
          <cell r="D110">
            <v>10670.6318359375</v>
          </cell>
          <cell r="E110">
            <v>7470.73583984375</v>
          </cell>
          <cell r="F110">
            <v>7691.072265625</v>
          </cell>
          <cell r="G110">
            <v>11031.1513671875</v>
          </cell>
          <cell r="H110">
            <v>8379.4326171875</v>
          </cell>
          <cell r="I110">
            <v>11481.3876953125</v>
          </cell>
          <cell r="J110">
            <v>10817.5234375</v>
          </cell>
          <cell r="K110">
            <v>9236.7861328125</v>
          </cell>
          <cell r="L110">
            <v>9013.5146484375</v>
          </cell>
          <cell r="M110">
            <v>8997.66796875</v>
          </cell>
          <cell r="N110">
            <v>12362.2939453125</v>
          </cell>
          <cell r="O110">
            <v>9855.0576171875</v>
          </cell>
          <cell r="P110">
            <v>10713.5361328125</v>
          </cell>
          <cell r="Q110">
            <v>7489.91064453125</v>
          </cell>
          <cell r="R110">
            <v>7768.8203125</v>
          </cell>
          <cell r="S110">
            <v>10789.5771484375</v>
          </cell>
          <cell r="T110">
            <v>8413.7861328125</v>
          </cell>
          <cell r="U110">
            <v>11422.5908203125</v>
          </cell>
          <cell r="V110">
            <v>10787.625</v>
          </cell>
          <cell r="W110">
            <v>9241.56640625</v>
          </cell>
          <cell r="X110">
            <v>9052.40625</v>
          </cell>
          <cell r="Y110">
            <v>8976.21484375</v>
          </cell>
          <cell r="Z110">
            <v>12358.6943359375</v>
          </cell>
          <cell r="AA110">
            <v>9876.7890625</v>
          </cell>
          <cell r="AB110">
            <v>10740.14453125</v>
          </cell>
          <cell r="AC110">
            <v>7489.80615234375</v>
          </cell>
          <cell r="AD110">
            <v>7804.80078125</v>
          </cell>
          <cell r="AE110">
            <v>10601.267578125</v>
          </cell>
          <cell r="AF110">
            <v>8441.3349609375</v>
          </cell>
          <cell r="AG110">
            <v>11447.5419921875</v>
          </cell>
          <cell r="AH110">
            <v>10785.2666015625</v>
          </cell>
          <cell r="AI110">
            <v>9253.3759765625</v>
          </cell>
          <cell r="AJ110">
            <v>9071.3623046875</v>
          </cell>
          <cell r="AK110">
            <v>9017.8134765625</v>
          </cell>
          <cell r="AL110">
            <v>12338.150390625</v>
          </cell>
          <cell r="AM110">
            <v>9874.306640625</v>
          </cell>
          <cell r="AN110">
            <v>10749.73828125</v>
          </cell>
          <cell r="AO110">
            <v>7504.578125</v>
          </cell>
          <cell r="AP110">
            <v>7850.12939453125</v>
          </cell>
          <cell r="AQ110">
            <v>10589.2265625</v>
          </cell>
          <cell r="AR110">
            <v>8450.4482421875</v>
          </cell>
          <cell r="AS110">
            <v>11304.0302734375</v>
          </cell>
          <cell r="AT110">
            <v>10755.69921875</v>
          </cell>
          <cell r="AU110">
            <v>9218.0986328125</v>
          </cell>
          <cell r="AV110">
            <v>9093.44140625</v>
          </cell>
          <cell r="AW110">
            <v>8963.880859375</v>
          </cell>
          <cell r="AX110">
            <v>12337.0576171875</v>
          </cell>
          <cell r="AY110">
            <v>9909.55078125</v>
          </cell>
          <cell r="AZ110">
            <v>10763.8662109375</v>
          </cell>
          <cell r="BA110">
            <v>7522.75634765625</v>
          </cell>
          <cell r="BB110">
            <v>7907.07666015625</v>
          </cell>
          <cell r="BC110">
            <v>10476.529296875</v>
          </cell>
          <cell r="BD110">
            <v>8468.2548828125</v>
          </cell>
          <cell r="BE110">
            <v>11194.025390625</v>
          </cell>
          <cell r="BF110">
            <v>10723.666015625</v>
          </cell>
          <cell r="BG110">
            <v>9235.2158203125</v>
          </cell>
          <cell r="BH110">
            <v>9136.9716796875</v>
          </cell>
          <cell r="BI110">
            <v>9030.05078125</v>
          </cell>
          <cell r="BJ110">
            <v>12299.1220703125</v>
          </cell>
          <cell r="BK110">
            <v>9943.8134765625</v>
          </cell>
          <cell r="BL110">
            <v>10102.953125</v>
          </cell>
          <cell r="BM110">
            <v>10107.560546875</v>
          </cell>
          <cell r="BN110">
            <v>10144.095703125</v>
          </cell>
          <cell r="BO110">
            <v>10158.0263671875</v>
          </cell>
          <cell r="BP110">
            <v>10143.3369140625</v>
          </cell>
          <cell r="BQ110">
            <v>10730</v>
          </cell>
          <cell r="BR110">
            <v>7500.32568359375</v>
          </cell>
          <cell r="BS110">
            <v>7822.43505859375</v>
          </cell>
          <cell r="BT110">
            <v>10636.96484375</v>
          </cell>
          <cell r="BU110">
            <v>8445.5078125</v>
          </cell>
          <cell r="BV110">
            <v>11310.3935546875</v>
          </cell>
          <cell r="BW110">
            <v>10758.9150390625</v>
          </cell>
          <cell r="BX110">
            <v>9236.0703125</v>
          </cell>
          <cell r="BY110">
            <v>9091.7744140625</v>
          </cell>
          <cell r="BZ110">
            <v>9003.4189453125</v>
          </cell>
          <cell r="CA110">
            <v>12326.4921875</v>
          </cell>
          <cell r="CB110">
            <v>9906.4267578125</v>
          </cell>
          <cell r="CC110">
            <v>10136.2578125</v>
          </cell>
          <cell r="CD110">
            <v>10136.2578125</v>
          </cell>
        </row>
        <row r="111">
          <cell r="D111">
            <v>11159.5</v>
          </cell>
          <cell r="E111">
            <v>7586.2216796875</v>
          </cell>
          <cell r="F111">
            <v>7681.21875</v>
          </cell>
          <cell r="G111">
            <v>11427.98828125</v>
          </cell>
          <cell r="H111">
            <v>8535.287109375</v>
          </cell>
          <cell r="I111">
            <v>11752.5888671875</v>
          </cell>
          <cell r="J111">
            <v>11039.736328125</v>
          </cell>
          <cell r="K111">
            <v>9565.60546875</v>
          </cell>
          <cell r="L111">
            <v>9120.8876953125</v>
          </cell>
          <cell r="M111">
            <v>9056.1181640625</v>
          </cell>
          <cell r="N111">
            <v>12853.3896484375</v>
          </cell>
          <cell r="O111">
            <v>10118.8837890625</v>
          </cell>
          <cell r="P111">
            <v>11206.982421875</v>
          </cell>
          <cell r="Q111">
            <v>7602.751953125</v>
          </cell>
          <cell r="R111">
            <v>7749.36767578125</v>
          </cell>
          <cell r="S111">
            <v>11133.6796875</v>
          </cell>
          <cell r="T111">
            <v>8568.0771484375</v>
          </cell>
          <cell r="U111">
            <v>11690.8994140625</v>
          </cell>
          <cell r="V111">
            <v>11007.783203125</v>
          </cell>
          <cell r="W111">
            <v>9574.2236328125</v>
          </cell>
          <cell r="X111">
            <v>9151.7587890625</v>
          </cell>
          <cell r="Y111">
            <v>9035.3408203125</v>
          </cell>
          <cell r="Z111">
            <v>12861.1513671875</v>
          </cell>
          <cell r="AA111">
            <v>10146.0546875</v>
          </cell>
          <cell r="AB111">
            <v>11237.4814453125</v>
          </cell>
          <cell r="AC111">
            <v>7605.5986328125</v>
          </cell>
          <cell r="AD111">
            <v>7782.8134765625</v>
          </cell>
          <cell r="AE111">
            <v>10920.4267578125</v>
          </cell>
          <cell r="AF111">
            <v>8598.4853515625</v>
          </cell>
          <cell r="AG111">
            <v>11718.880859375</v>
          </cell>
          <cell r="AH111">
            <v>11001.9111328125</v>
          </cell>
          <cell r="AI111">
            <v>9588.30859375</v>
          </cell>
          <cell r="AJ111">
            <v>9164.853515625</v>
          </cell>
          <cell r="AK111">
            <v>9077.1982421875</v>
          </cell>
          <cell r="AL111">
            <v>12848.4541015625</v>
          </cell>
          <cell r="AM111">
            <v>10146.3671875</v>
          </cell>
          <cell r="AN111">
            <v>11248.6103515625</v>
          </cell>
          <cell r="AO111">
            <v>7621.041015625</v>
          </cell>
          <cell r="AP111">
            <v>7822.7939453125</v>
          </cell>
          <cell r="AQ111">
            <v>10906.568359375</v>
          </cell>
          <cell r="AR111">
            <v>8607.78125</v>
          </cell>
          <cell r="AS111">
            <v>11567.748046875</v>
          </cell>
          <cell r="AT111">
            <v>10964.830078125</v>
          </cell>
          <cell r="AU111">
            <v>9552.9501953125</v>
          </cell>
          <cell r="AV111">
            <v>9187.5517578125</v>
          </cell>
          <cell r="AW111">
            <v>9020.6220703125</v>
          </cell>
          <cell r="AX111">
            <v>12851.9970703125</v>
          </cell>
          <cell r="AY111">
            <v>10184.6337890625</v>
          </cell>
          <cell r="AZ111">
            <v>11268.0830078125</v>
          </cell>
          <cell r="BA111">
            <v>7637.712890625</v>
          </cell>
          <cell r="BB111">
            <v>7873.30615234375</v>
          </cell>
          <cell r="BC111">
            <v>10773.1748046875</v>
          </cell>
          <cell r="BD111">
            <v>8620.765625</v>
          </cell>
          <cell r="BE111">
            <v>11452.4208984375</v>
          </cell>
          <cell r="BF111">
            <v>10922.8427734375</v>
          </cell>
          <cell r="BG111">
            <v>9574.1015625</v>
          </cell>
          <cell r="BH111">
            <v>9228.384765625</v>
          </cell>
          <cell r="BI111">
            <v>9086.90234375</v>
          </cell>
          <cell r="BJ111">
            <v>12825.96484375</v>
          </cell>
          <cell r="BK111">
            <v>10220.689453125</v>
          </cell>
          <cell r="BL111">
            <v>10426.4365234375</v>
          </cell>
          <cell r="BM111">
            <v>10412.6552734375</v>
          </cell>
          <cell r="BN111">
            <v>10444.8076171875</v>
          </cell>
          <cell r="BO111">
            <v>10447.498046875</v>
          </cell>
          <cell r="BP111">
            <v>10418.8623046875</v>
          </cell>
          <cell r="BQ111">
            <v>11226.9599609375</v>
          </cell>
          <cell r="BR111">
            <v>7615.40576171875</v>
          </cell>
          <cell r="BS111">
            <v>7797.986328125</v>
          </cell>
          <cell r="BT111">
            <v>10961.2333984375</v>
          </cell>
          <cell r="BU111">
            <v>8600.291015625</v>
          </cell>
          <cell r="BV111">
            <v>11574.318359375</v>
          </cell>
          <cell r="BW111">
            <v>10968.4052734375</v>
          </cell>
          <cell r="BX111">
            <v>9571.04296875</v>
          </cell>
          <cell r="BY111">
            <v>9186.9169921875</v>
          </cell>
          <cell r="BZ111">
            <v>9061.080078125</v>
          </cell>
          <cell r="CA111">
            <v>12842.0927734375</v>
          </cell>
          <cell r="CB111">
            <v>10179.7509765625</v>
          </cell>
          <cell r="CC111">
            <v>10429.7880859375</v>
          </cell>
          <cell r="CD111">
            <v>10429.7880859375</v>
          </cell>
        </row>
        <row r="112">
          <cell r="D112">
            <v>11558.6669921875</v>
          </cell>
          <cell r="E112">
            <v>7642.626953125</v>
          </cell>
          <cell r="F112">
            <v>7689.50244140625</v>
          </cell>
          <cell r="G112">
            <v>12210.8193359375</v>
          </cell>
          <cell r="H112">
            <v>8750.3193359375</v>
          </cell>
          <cell r="I112">
            <v>12041.9599609375</v>
          </cell>
          <cell r="J112">
            <v>11275.40234375</v>
          </cell>
          <cell r="K112">
            <v>9737.671875</v>
          </cell>
          <cell r="L112">
            <v>9338.8369140625</v>
          </cell>
          <cell r="M112">
            <v>9165.2373046875</v>
          </cell>
          <cell r="N112">
            <v>13247.5888671875</v>
          </cell>
          <cell r="O112">
            <v>10437.435546875</v>
          </cell>
          <cell r="P112">
            <v>11595.3505859375</v>
          </cell>
          <cell r="Q112">
            <v>7651.75048828125</v>
          </cell>
          <cell r="R112">
            <v>7754.05419921875</v>
          </cell>
          <cell r="S112">
            <v>11905.662109375</v>
          </cell>
          <cell r="T112">
            <v>8786.705078125</v>
          </cell>
          <cell r="U112">
            <v>11978.3125</v>
          </cell>
          <cell r="V112">
            <v>11231.5556640625</v>
          </cell>
          <cell r="W112">
            <v>9748.4033203125</v>
          </cell>
          <cell r="X112">
            <v>9372.6435546875</v>
          </cell>
          <cell r="Y112">
            <v>9145.15234375</v>
          </cell>
          <cell r="Z112">
            <v>13253.2626953125</v>
          </cell>
          <cell r="AA112">
            <v>10474.4638671875</v>
          </cell>
          <cell r="AB112">
            <v>11617.0498046875</v>
          </cell>
          <cell r="AC112">
            <v>7656.7890625</v>
          </cell>
          <cell r="AD112">
            <v>7785.55908203125</v>
          </cell>
          <cell r="AE112">
            <v>11672.580078125</v>
          </cell>
          <cell r="AF112">
            <v>8814.44921875</v>
          </cell>
          <cell r="AG112">
            <v>12011.0361328125</v>
          </cell>
          <cell r="AH112">
            <v>11220.8134765625</v>
          </cell>
          <cell r="AI112">
            <v>9763.9892578125</v>
          </cell>
          <cell r="AJ112">
            <v>9391.84375</v>
          </cell>
          <cell r="AK112">
            <v>9187.822265625</v>
          </cell>
          <cell r="AL112">
            <v>13238.5703125</v>
          </cell>
          <cell r="AM112">
            <v>10479.458984375</v>
          </cell>
          <cell r="AN112">
            <v>11620.689453125</v>
          </cell>
          <cell r="AO112">
            <v>7672.09912109375</v>
          </cell>
          <cell r="AP112">
            <v>7825.9248046875</v>
          </cell>
          <cell r="AQ112">
            <v>11658.2900390625</v>
          </cell>
          <cell r="AR112">
            <v>8824.02734375</v>
          </cell>
          <cell r="AS112">
            <v>11852.82421875</v>
          </cell>
          <cell r="AT112">
            <v>11174.2861328125</v>
          </cell>
          <cell r="AU112">
            <v>9727.201171875</v>
          </cell>
          <cell r="AV112">
            <v>9405.9619140625</v>
          </cell>
          <cell r="AW112">
            <v>9135.935546875</v>
          </cell>
          <cell r="AX112">
            <v>13234.75</v>
          </cell>
          <cell r="AY112">
            <v>10519.2353515625</v>
          </cell>
          <cell r="AZ112">
            <v>11628.75390625</v>
          </cell>
          <cell r="BA112">
            <v>7683.85546875</v>
          </cell>
          <cell r="BB112">
            <v>7875.39892578125</v>
          </cell>
          <cell r="BC112">
            <v>11507.216796875</v>
          </cell>
          <cell r="BD112">
            <v>8845.4794921875</v>
          </cell>
          <cell r="BE112">
            <v>11732.5166015625</v>
          </cell>
          <cell r="BF112">
            <v>11129.6279296875</v>
          </cell>
          <cell r="BG112">
            <v>9751.06640625</v>
          </cell>
          <cell r="BH112">
            <v>9437.6494140625</v>
          </cell>
          <cell r="BI112">
            <v>9203.818359375</v>
          </cell>
          <cell r="BJ112">
            <v>13201.4609375</v>
          </cell>
          <cell r="BK112">
            <v>10562.0341796875</v>
          </cell>
          <cell r="BL112">
            <v>10752.6845703125</v>
          </cell>
          <cell r="BM112">
            <v>10727.041015625</v>
          </cell>
          <cell r="BN112">
            <v>10754.115234375</v>
          </cell>
          <cell r="BO112">
            <v>10747.1962890625</v>
          </cell>
          <cell r="BP112">
            <v>10712.396484375</v>
          </cell>
          <cell r="BQ112">
            <v>11605.8701171875</v>
          </cell>
          <cell r="BR112">
            <v>7665.3134765625</v>
          </cell>
          <cell r="BS112">
            <v>7801.7216796875</v>
          </cell>
          <cell r="BT112">
            <v>11713.986328125</v>
          </cell>
          <cell r="BU112">
            <v>8820.2080078125</v>
          </cell>
          <cell r="BV112">
            <v>11859.1474609375</v>
          </cell>
          <cell r="BW112">
            <v>11182.7392578125</v>
          </cell>
          <cell r="BX112">
            <v>9746.0966796875</v>
          </cell>
          <cell r="BY112">
            <v>9403.642578125</v>
          </cell>
          <cell r="BZ112">
            <v>9175.1162109375</v>
          </cell>
          <cell r="CA112">
            <v>13225.1396484375</v>
          </cell>
          <cell r="CB112">
            <v>10514.16015625</v>
          </cell>
          <cell r="CC112">
            <v>10734.7138671875</v>
          </cell>
          <cell r="CD112">
            <v>10734.712890625</v>
          </cell>
        </row>
        <row r="113">
          <cell r="D113">
            <v>11977.720703125</v>
          </cell>
          <cell r="E113">
            <v>7806.9453125</v>
          </cell>
          <cell r="F113">
            <v>7896.73681640625</v>
          </cell>
          <cell r="G113">
            <v>12727.0546875</v>
          </cell>
          <cell r="H113">
            <v>8859.6337890625</v>
          </cell>
          <cell r="I113">
            <v>12346.4404296875</v>
          </cell>
          <cell r="J113">
            <v>11730.95703125</v>
          </cell>
          <cell r="K113">
            <v>10020.048828125</v>
          </cell>
          <cell r="L113">
            <v>9669.0693359375</v>
          </cell>
          <cell r="M113">
            <v>10361.8232421875</v>
          </cell>
          <cell r="N113">
            <v>13717.1591796875</v>
          </cell>
          <cell r="O113">
            <v>10615.5107421875</v>
          </cell>
          <cell r="P113">
            <v>12001.3955078125</v>
          </cell>
          <cell r="Q113">
            <v>7815.2197265625</v>
          </cell>
          <cell r="R113">
            <v>7974.37109375</v>
          </cell>
          <cell r="S113">
            <v>12365.3466796875</v>
          </cell>
          <cell r="T113">
            <v>8897.7568359375</v>
          </cell>
          <cell r="U113">
            <v>12287.5380859375</v>
          </cell>
          <cell r="V113">
            <v>11688.9013671875</v>
          </cell>
          <cell r="W113">
            <v>10031.966796875</v>
          </cell>
          <cell r="X113">
            <v>9709.3701171875</v>
          </cell>
          <cell r="Y113">
            <v>10244.373046875</v>
          </cell>
          <cell r="Z113">
            <v>13716.8193359375</v>
          </cell>
          <cell r="AA113">
            <v>10650.9384765625</v>
          </cell>
          <cell r="AB113">
            <v>12013.5234375</v>
          </cell>
          <cell r="AC113">
            <v>7820.09423828125</v>
          </cell>
          <cell r="AD113">
            <v>8010.82275390625</v>
          </cell>
          <cell r="AE113">
            <v>12098.46875</v>
          </cell>
          <cell r="AF113">
            <v>8927.7998046875</v>
          </cell>
          <cell r="AG113">
            <v>12321.865234375</v>
          </cell>
          <cell r="AH113">
            <v>11675.904296875</v>
          </cell>
          <cell r="AI113">
            <v>10048.4970703125</v>
          </cell>
          <cell r="AJ113">
            <v>9732.2626953125</v>
          </cell>
          <cell r="AK113">
            <v>10271.92578125</v>
          </cell>
          <cell r="AL113">
            <v>13696.0126953125</v>
          </cell>
          <cell r="AM113">
            <v>10654.9443359375</v>
          </cell>
          <cell r="AN113">
            <v>12009.7890625</v>
          </cell>
          <cell r="AO113">
            <v>7834.56201171875</v>
          </cell>
          <cell r="AP113">
            <v>8059.1484375</v>
          </cell>
          <cell r="AQ113">
            <v>12073.6025390625</v>
          </cell>
          <cell r="AR113">
            <v>8936.7265625</v>
          </cell>
          <cell r="AS113">
            <v>12170.2333984375</v>
          </cell>
          <cell r="AT113">
            <v>11630.974609375</v>
          </cell>
          <cell r="AU113">
            <v>10010.2333984375</v>
          </cell>
          <cell r="AV113">
            <v>9739.498046875</v>
          </cell>
          <cell r="AW113">
            <v>10198.478515625</v>
          </cell>
          <cell r="AX113">
            <v>13683.0654296875</v>
          </cell>
          <cell r="AY113">
            <v>10694.9638671875</v>
          </cell>
          <cell r="AZ113">
            <v>12005.740234375</v>
          </cell>
          <cell r="BA113">
            <v>7845.6748046875</v>
          </cell>
          <cell r="BB113">
            <v>8118.79833984375</v>
          </cell>
          <cell r="BC113">
            <v>11898.3671875</v>
          </cell>
          <cell r="BD113">
            <v>8956.7021484375</v>
          </cell>
          <cell r="BE113">
            <v>12055.9599609375</v>
          </cell>
          <cell r="BF113">
            <v>11589.1787109375</v>
          </cell>
          <cell r="BG113">
            <v>10035.4033203125</v>
          </cell>
          <cell r="BH113">
            <v>9767.6103515625</v>
          </cell>
          <cell r="BI113">
            <v>10229.291015625</v>
          </cell>
          <cell r="BJ113">
            <v>13644.8271484375</v>
          </cell>
          <cell r="BK113">
            <v>10739.7958984375</v>
          </cell>
          <cell r="BL113">
            <v>11125.6640625</v>
          </cell>
          <cell r="BM113">
            <v>11094.171875</v>
          </cell>
          <cell r="BN113">
            <v>11117.5947265625</v>
          </cell>
          <cell r="BO113">
            <v>11108.2685546875</v>
          </cell>
          <cell r="BP113">
            <v>11066.279296875</v>
          </cell>
          <cell r="BQ113">
            <v>12002.2587890625</v>
          </cell>
          <cell r="BR113">
            <v>7828.1611328125</v>
          </cell>
          <cell r="BS113">
            <v>8030.6298828125</v>
          </cell>
          <cell r="BT113">
            <v>12141.8974609375</v>
          </cell>
          <cell r="BU113">
            <v>8931.8818359375</v>
          </cell>
          <cell r="BV113">
            <v>12175.9873046875</v>
          </cell>
          <cell r="BW113">
            <v>11640.1884765625</v>
          </cell>
          <cell r="BX113">
            <v>10029.8095703125</v>
          </cell>
          <cell r="BY113">
            <v>9737.0751953125</v>
          </cell>
          <cell r="BZ113">
            <v>10239.814453125</v>
          </cell>
          <cell r="CA113">
            <v>13676.4775390625</v>
          </cell>
          <cell r="CB113">
            <v>10690.9365234375</v>
          </cell>
          <cell r="CC113">
            <v>11096.2822265625</v>
          </cell>
          <cell r="CD113">
            <v>11096.2822265625</v>
          </cell>
        </row>
        <row r="114">
          <cell r="D114">
            <v>12165.466796875</v>
          </cell>
          <cell r="E114">
            <v>7952.2109375</v>
          </cell>
          <cell r="F114">
            <v>8123.958984375</v>
          </cell>
          <cell r="G114">
            <v>13155.908203125</v>
          </cell>
          <cell r="H114">
            <v>9096.3515625</v>
          </cell>
          <cell r="I114">
            <v>12651.544921875</v>
          </cell>
          <cell r="J114">
            <v>12276.40234375</v>
          </cell>
          <cell r="K114">
            <v>10430.4228515625</v>
          </cell>
          <cell r="L114">
            <v>9765.4697265625</v>
          </cell>
          <cell r="M114">
            <v>10771.228515625</v>
          </cell>
          <cell r="N114">
            <v>14095.0908203125</v>
          </cell>
          <cell r="O114">
            <v>10867.6572265625</v>
          </cell>
          <cell r="P114">
            <v>12181.9287109375</v>
          </cell>
          <cell r="Q114">
            <v>7961.72314453125</v>
          </cell>
          <cell r="R114">
            <v>8212.521484375</v>
          </cell>
          <cell r="S114">
            <v>12787.80859375</v>
          </cell>
          <cell r="T114">
            <v>9146.025390625</v>
          </cell>
          <cell r="U114">
            <v>12593.9677734375</v>
          </cell>
          <cell r="V114">
            <v>12221.4345703125</v>
          </cell>
          <cell r="W114">
            <v>10440.9111328125</v>
          </cell>
          <cell r="X114">
            <v>9800.642578125</v>
          </cell>
          <cell r="Y114">
            <v>10697.916015625</v>
          </cell>
          <cell r="Z114">
            <v>14087.4892578125</v>
          </cell>
          <cell r="AA114">
            <v>10910.71484375</v>
          </cell>
          <cell r="AB114">
            <v>12193.2001953125</v>
          </cell>
          <cell r="AC114">
            <v>7964.5</v>
          </cell>
          <cell r="AD114">
            <v>8250.9892578125</v>
          </cell>
          <cell r="AE114">
            <v>12511.150390625</v>
          </cell>
          <cell r="AF114">
            <v>9183.7353515625</v>
          </cell>
          <cell r="AG114">
            <v>12629.1787109375</v>
          </cell>
          <cell r="AH114">
            <v>12203.83984375</v>
          </cell>
          <cell r="AI114">
            <v>10457.009765625</v>
          </cell>
          <cell r="AJ114">
            <v>9820.1767578125</v>
          </cell>
          <cell r="AK114">
            <v>10735.6015625</v>
          </cell>
          <cell r="AL114">
            <v>14059.099609375</v>
          </cell>
          <cell r="AM114">
            <v>10917.017578125</v>
          </cell>
          <cell r="AN114">
            <v>12189.3134765625</v>
          </cell>
          <cell r="AO114">
            <v>7981.0546875</v>
          </cell>
          <cell r="AP114">
            <v>8307.634765625</v>
          </cell>
          <cell r="AQ114">
            <v>12491.873046875</v>
          </cell>
          <cell r="AR114">
            <v>9194.6904296875</v>
          </cell>
          <cell r="AS114">
            <v>12477.9365234375</v>
          </cell>
          <cell r="AT114">
            <v>12143.890625</v>
          </cell>
          <cell r="AU114">
            <v>10415.1220703125</v>
          </cell>
          <cell r="AV114">
            <v>9831.482421875</v>
          </cell>
          <cell r="AW114">
            <v>10657.9287109375</v>
          </cell>
          <cell r="AX114">
            <v>14040.0234375</v>
          </cell>
          <cell r="AY114">
            <v>10962.7177734375</v>
          </cell>
          <cell r="AZ114">
            <v>12182.939453125</v>
          </cell>
          <cell r="BA114">
            <v>7994.56005859375</v>
          </cell>
          <cell r="BB114">
            <v>8376.0791015625</v>
          </cell>
          <cell r="BC114">
            <v>12333.1396484375</v>
          </cell>
          <cell r="BD114">
            <v>9222.701171875</v>
          </cell>
          <cell r="BE114">
            <v>12364.36328125</v>
          </cell>
          <cell r="BF114">
            <v>12090.330078125</v>
          </cell>
          <cell r="BG114">
            <v>10438.31640625</v>
          </cell>
          <cell r="BH114">
            <v>9865.04296875</v>
          </cell>
          <cell r="BI114">
            <v>10724.72265625</v>
          </cell>
          <cell r="BJ114">
            <v>13994.5009765625</v>
          </cell>
          <cell r="BK114">
            <v>11014.6884765625</v>
          </cell>
          <cell r="BL114">
            <v>11389.412109375</v>
          </cell>
          <cell r="BM114">
            <v>11371.5546875</v>
          </cell>
          <cell r="BN114">
            <v>11398.3876953125</v>
          </cell>
          <cell r="BO114">
            <v>11399.2939453125</v>
          </cell>
          <cell r="BP114">
            <v>11365.7626953125</v>
          </cell>
          <cell r="BQ114">
            <v>12182.955078125</v>
          </cell>
          <cell r="BR114">
            <v>7974.86279296875</v>
          </cell>
          <cell r="BS114">
            <v>8275.419921875</v>
          </cell>
          <cell r="BT114">
            <v>12566.517578125</v>
          </cell>
          <cell r="BU114">
            <v>9189.759765625</v>
          </cell>
          <cell r="BV114">
            <v>12483.564453125</v>
          </cell>
          <cell r="BW114">
            <v>12156.935546875</v>
          </cell>
          <cell r="BX114">
            <v>10436.1484375</v>
          </cell>
          <cell r="BY114">
            <v>9830.7783203125</v>
          </cell>
          <cell r="BZ114">
            <v>10710.4306640625</v>
          </cell>
          <cell r="CA114">
            <v>14034.818359375</v>
          </cell>
          <cell r="CB114">
            <v>10957.740234375</v>
          </cell>
          <cell r="CC114">
            <v>11382.7841796875</v>
          </cell>
          <cell r="CD114">
            <v>11382.7841796875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14"/>
  <sheetViews>
    <sheetView zoomScale="104" workbookViewId="0">
      <pane xSplit="3" ySplit="1" topLeftCell="D102" activePane="bottomRight" state="frozen"/>
      <selection pane="topRight" activeCell="D1" sqref="D1"/>
      <selection pane="bottomLeft" activeCell="A2" sqref="A2"/>
      <selection pane="bottomRight" activeCell="A114" sqref="A114:XFD114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14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14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  <row r="109" spans="1:89" ht="15.75" thickBot="1" x14ac:dyDescent="0.3">
      <c r="A109" s="2">
        <f>+[1]Sheet1!A109</f>
        <v>45962</v>
      </c>
      <c r="B109" s="1" t="str">
        <f t="shared" si="0"/>
        <v>Noviembre</v>
      </c>
      <c r="C109" s="1">
        <f t="shared" si="1"/>
        <v>2025</v>
      </c>
      <c r="D109" s="57">
        <f>+[2]Sheet1!D109</f>
        <v>10323.419921875</v>
      </c>
      <c r="E109" s="57">
        <f>+[2]Sheet1!E109</f>
        <v>7270.57275390625</v>
      </c>
      <c r="F109" s="57">
        <f>+[2]Sheet1!F109</f>
        <v>7613.224609375</v>
      </c>
      <c r="G109" s="57">
        <f>+[2]Sheet1!G109</f>
        <v>10679.3037109375</v>
      </c>
      <c r="H109" s="57">
        <f>+[2]Sheet1!H109</f>
        <v>8221.6259765625</v>
      </c>
      <c r="I109" s="57">
        <f>+[2]Sheet1!I109</f>
        <v>11254.9833984375</v>
      </c>
      <c r="J109" s="57">
        <f>+[2]Sheet1!J109</f>
        <v>10399.5068359375</v>
      </c>
      <c r="K109" s="57">
        <f>+[2]Sheet1!K109</f>
        <v>8951.5380859375</v>
      </c>
      <c r="L109" s="57">
        <f>+[2]Sheet1!L109</f>
        <v>8797.9609375</v>
      </c>
      <c r="M109" s="57">
        <f>+[2]Sheet1!M109</f>
        <v>8974.3779296875</v>
      </c>
      <c r="N109" s="57">
        <f>+[2]Sheet1!N109</f>
        <v>11991.712890625</v>
      </c>
      <c r="O109" s="57">
        <f>+[2]Sheet1!O109</f>
        <v>9612.5751953125</v>
      </c>
      <c r="P109" s="57">
        <f>+[2]Sheet1!P109</f>
        <v>10377.267578125</v>
      </c>
      <c r="Q109" s="57">
        <f>+[2]Sheet1!Q109</f>
        <v>7284.79443359375</v>
      </c>
      <c r="R109" s="57">
        <f>+[2]Sheet1!R109</f>
        <v>7687.74853515625</v>
      </c>
      <c r="S109" s="57">
        <f>+[2]Sheet1!S109</f>
        <v>10441.7255859375</v>
      </c>
      <c r="T109" s="57">
        <f>+[2]Sheet1!T109</f>
        <v>8250.5458984375</v>
      </c>
      <c r="U109" s="57">
        <f>+[2]Sheet1!U109</f>
        <v>11193.0419921875</v>
      </c>
      <c r="V109" s="57">
        <f>+[2]Sheet1!V109</f>
        <v>10370.955078125</v>
      </c>
      <c r="W109" s="57">
        <f>+[2]Sheet1!W109</f>
        <v>8950.26953125</v>
      </c>
      <c r="X109" s="57">
        <f>+[2]Sheet1!X109</f>
        <v>8832.5869140625</v>
      </c>
      <c r="Y109" s="57">
        <f>+[2]Sheet1!Y109</f>
        <v>8958.9765625</v>
      </c>
      <c r="Z109" s="57">
        <f>+[2]Sheet1!Z109</f>
        <v>11980.74609375</v>
      </c>
      <c r="AA109" s="57">
        <f>+[2]Sheet1!AA109</f>
        <v>9626.2451171875</v>
      </c>
      <c r="AB109" s="57">
        <f>+[2]Sheet1!AB109</f>
        <v>10409.7568359375</v>
      </c>
      <c r="AC109" s="57">
        <f>+[2]Sheet1!AC109</f>
        <v>7286.841796875</v>
      </c>
      <c r="AD109" s="57">
        <f>+[2]Sheet1!AD109</f>
        <v>7722.99658203125</v>
      </c>
      <c r="AE109" s="57">
        <f>+[2]Sheet1!AE109</f>
        <v>10255.90625</v>
      </c>
      <c r="AF109" s="57">
        <f>+[2]Sheet1!AF109</f>
        <v>8277.275390625</v>
      </c>
      <c r="AG109" s="57">
        <f>+[2]Sheet1!AG109</f>
        <v>11217.9638671875</v>
      </c>
      <c r="AH109" s="57">
        <f>+[2]Sheet1!AH109</f>
        <v>10371.7412109375</v>
      </c>
      <c r="AI109" s="57">
        <f>+[2]Sheet1!AI109</f>
        <v>8958.4462890625</v>
      </c>
      <c r="AJ109" s="57">
        <f>+[2]Sheet1!AJ109</f>
        <v>8848.94140625</v>
      </c>
      <c r="AK109" s="57">
        <f>+[2]Sheet1!AK109</f>
        <v>8998.6787109375</v>
      </c>
      <c r="AL109" s="57">
        <f>+[2]Sheet1!AL109</f>
        <v>11960.17578125</v>
      </c>
      <c r="AM109" s="57">
        <f>+[2]Sheet1!AM109</f>
        <v>9621.943359375</v>
      </c>
      <c r="AN109" s="57">
        <f>+[2]Sheet1!AN109</f>
        <v>10423.794921875</v>
      </c>
      <c r="AO109" s="57">
        <f>+[2]Sheet1!AO109</f>
        <v>7300.73046875</v>
      </c>
      <c r="AP109" s="57">
        <f>+[2]Sheet1!AP109</f>
        <v>7766.71484375</v>
      </c>
      <c r="AQ109" s="57">
        <f>+[2]Sheet1!AQ109</f>
        <v>10242.6123046875</v>
      </c>
      <c r="AR109" s="57">
        <f>+[2]Sheet1!AR109</f>
        <v>8286.6337890625</v>
      </c>
      <c r="AS109" s="57">
        <f>+[2]Sheet1!AS109</f>
        <v>11069.7392578125</v>
      </c>
      <c r="AT109" s="57">
        <f>+[2]Sheet1!AT109</f>
        <v>10341.05859375</v>
      </c>
      <c r="AU109" s="57">
        <f>+[2]Sheet1!AU109</f>
        <v>8923.771484375</v>
      </c>
      <c r="AV109" s="57">
        <f>+[2]Sheet1!AV109</f>
        <v>8867.67578125</v>
      </c>
      <c r="AW109" s="57">
        <f>+[2]Sheet1!AW109</f>
        <v>8942.3828125</v>
      </c>
      <c r="AX109" s="57">
        <f>+[2]Sheet1!AX109</f>
        <v>11961.3173828125</v>
      </c>
      <c r="AY109" s="57">
        <f>+[2]Sheet1!AY109</f>
        <v>9651.5517578125</v>
      </c>
      <c r="AZ109" s="57">
        <f>+[2]Sheet1!AZ109</f>
        <v>10447.2919921875</v>
      </c>
      <c r="BA109" s="57">
        <f>+[2]Sheet1!BA109</f>
        <v>7315.62548828125</v>
      </c>
      <c r="BB109" s="57">
        <f>+[2]Sheet1!BB109</f>
        <v>7822.0283203125</v>
      </c>
      <c r="BC109" s="57">
        <f>+[2]Sheet1!BC109</f>
        <v>10127.8134765625</v>
      </c>
      <c r="BD109" s="57">
        <f>+[2]Sheet1!BD109</f>
        <v>8301.521484375</v>
      </c>
      <c r="BE109" s="57">
        <f>+[2]Sheet1!BE109</f>
        <v>10955.583984375</v>
      </c>
      <c r="BF109" s="57">
        <f>+[2]Sheet1!BF109</f>
        <v>10307.6669921875</v>
      </c>
      <c r="BG109" s="57">
        <f>+[2]Sheet1!BG109</f>
        <v>8935.79296875</v>
      </c>
      <c r="BH109" s="57">
        <f>+[2]Sheet1!BH109</f>
        <v>8908.1123046875</v>
      </c>
      <c r="BI109" s="57">
        <f>+[2]Sheet1!BI109</f>
        <v>9024.8134765625</v>
      </c>
      <c r="BJ109" s="57">
        <f>+[2]Sheet1!BJ109</f>
        <v>11932.7236328125</v>
      </c>
      <c r="BK109" s="57">
        <f>+[2]Sheet1!BK109</f>
        <v>9672.4462890625</v>
      </c>
      <c r="BL109" s="57">
        <f>+[2]Sheet1!BL109</f>
        <v>9816.017578125</v>
      </c>
      <c r="BM109" s="57">
        <f>+[2]Sheet1!BM109</f>
        <v>9824.5283203125</v>
      </c>
      <c r="BN109" s="57">
        <f>+[2]Sheet1!BN109</f>
        <v>9864.9951171875</v>
      </c>
      <c r="BO109" s="57">
        <f>+[2]Sheet1!BO109</f>
        <v>9878.3359375</v>
      </c>
      <c r="BP109" s="57">
        <f>+[2]Sheet1!BP109</f>
        <v>9868.3935546875</v>
      </c>
      <c r="BQ109" s="57">
        <f>+[2]Sheet1!BQ109</f>
        <v>10399.533203125</v>
      </c>
      <c r="BR109" s="57">
        <f>+[2]Sheet1!BR109</f>
        <v>7295.88232421875</v>
      </c>
      <c r="BS109" s="57">
        <f>+[2]Sheet1!BS109</f>
        <v>7740.01318359375</v>
      </c>
      <c r="BT109" s="57">
        <f>+[2]Sheet1!BT109</f>
        <v>10289.076171875</v>
      </c>
      <c r="BU109" s="57">
        <f>+[2]Sheet1!BU109</f>
        <v>8281.0498046875</v>
      </c>
      <c r="BV109" s="57">
        <f>+[2]Sheet1!BV109</f>
        <v>11076.3486328125</v>
      </c>
      <c r="BW109" s="57">
        <f>+[2]Sheet1!BW109</f>
        <v>10343.388671875</v>
      </c>
      <c r="BX109" s="57">
        <f>+[2]Sheet1!BX109</f>
        <v>8941.7041015625</v>
      </c>
      <c r="BY109" s="57">
        <f>+[2]Sheet1!BY109</f>
        <v>8867.318359375</v>
      </c>
      <c r="BZ109" s="57">
        <f>+[2]Sheet1!BZ109</f>
        <v>8989.24609375</v>
      </c>
      <c r="CA109" s="57">
        <f>+[2]Sheet1!CA109</f>
        <v>11954.330078125</v>
      </c>
      <c r="CB109" s="57">
        <f>+[2]Sheet1!CB109</f>
        <v>9646.978515625</v>
      </c>
      <c r="CC109" s="57">
        <f>+[2]Sheet1!CC109</f>
        <v>9856.8017578125</v>
      </c>
      <c r="CD109" s="57">
        <f>+[2]Sheet1!CD109</f>
        <v>9856.8017578125</v>
      </c>
      <c r="CJ109" s="46"/>
      <c r="CK109" s="41"/>
    </row>
    <row r="110" spans="1:89" ht="15.75" thickBot="1" x14ac:dyDescent="0.3">
      <c r="A110" s="2">
        <f>+[1]Sheet1!A110</f>
        <v>45992</v>
      </c>
      <c r="B110" s="1" t="str">
        <f t="shared" si="0"/>
        <v>Diciembre</v>
      </c>
      <c r="C110" s="1">
        <f t="shared" si="1"/>
        <v>2025</v>
      </c>
      <c r="D110" s="57">
        <f>+[2]Sheet1!D110</f>
        <v>10670.6318359375</v>
      </c>
      <c r="E110" s="57">
        <f>+[2]Sheet1!E110</f>
        <v>7470.73583984375</v>
      </c>
      <c r="F110" s="57">
        <f>+[2]Sheet1!F110</f>
        <v>7691.072265625</v>
      </c>
      <c r="G110" s="57">
        <f>+[2]Sheet1!G110</f>
        <v>11031.1513671875</v>
      </c>
      <c r="H110" s="57">
        <f>+[2]Sheet1!H110</f>
        <v>8379.4326171875</v>
      </c>
      <c r="I110" s="57">
        <f>+[2]Sheet1!I110</f>
        <v>11481.3876953125</v>
      </c>
      <c r="J110" s="57">
        <f>+[2]Sheet1!J110</f>
        <v>10817.5234375</v>
      </c>
      <c r="K110" s="57">
        <f>+[2]Sheet1!K110</f>
        <v>9236.7861328125</v>
      </c>
      <c r="L110" s="57">
        <f>+[2]Sheet1!L110</f>
        <v>9013.5146484375</v>
      </c>
      <c r="M110" s="57">
        <f>+[2]Sheet1!M110</f>
        <v>8997.66796875</v>
      </c>
      <c r="N110" s="57">
        <f>+[2]Sheet1!N110</f>
        <v>12362.2939453125</v>
      </c>
      <c r="O110" s="57">
        <f>+[2]Sheet1!O110</f>
        <v>9855.0576171875</v>
      </c>
      <c r="P110" s="57">
        <f>+[2]Sheet1!P110</f>
        <v>10713.5361328125</v>
      </c>
      <c r="Q110" s="57">
        <f>+[2]Sheet1!Q110</f>
        <v>7489.91064453125</v>
      </c>
      <c r="R110" s="57">
        <f>+[2]Sheet1!R110</f>
        <v>7768.8203125</v>
      </c>
      <c r="S110" s="57">
        <f>+[2]Sheet1!S110</f>
        <v>10789.5771484375</v>
      </c>
      <c r="T110" s="57">
        <f>+[2]Sheet1!T110</f>
        <v>8413.7861328125</v>
      </c>
      <c r="U110" s="57">
        <f>+[2]Sheet1!U110</f>
        <v>11422.5908203125</v>
      </c>
      <c r="V110" s="57">
        <f>+[2]Sheet1!V110</f>
        <v>10787.625</v>
      </c>
      <c r="W110" s="57">
        <f>+[2]Sheet1!W110</f>
        <v>9241.56640625</v>
      </c>
      <c r="X110" s="57">
        <f>+[2]Sheet1!X110</f>
        <v>9052.40625</v>
      </c>
      <c r="Y110" s="57">
        <f>+[2]Sheet1!Y110</f>
        <v>8976.21484375</v>
      </c>
      <c r="Z110" s="57">
        <f>+[2]Sheet1!Z110</f>
        <v>12358.6943359375</v>
      </c>
      <c r="AA110" s="57">
        <f>+[2]Sheet1!AA110</f>
        <v>9876.7890625</v>
      </c>
      <c r="AB110" s="57">
        <f>+[2]Sheet1!AB110</f>
        <v>10740.14453125</v>
      </c>
      <c r="AC110" s="57">
        <f>+[2]Sheet1!AC110</f>
        <v>7489.80615234375</v>
      </c>
      <c r="AD110" s="57">
        <f>+[2]Sheet1!AD110</f>
        <v>7804.80078125</v>
      </c>
      <c r="AE110" s="57">
        <f>+[2]Sheet1!AE110</f>
        <v>10601.267578125</v>
      </c>
      <c r="AF110" s="57">
        <f>+[2]Sheet1!AF110</f>
        <v>8441.3349609375</v>
      </c>
      <c r="AG110" s="57">
        <f>+[2]Sheet1!AG110</f>
        <v>11447.5419921875</v>
      </c>
      <c r="AH110" s="57">
        <f>+[2]Sheet1!AH110</f>
        <v>10785.2666015625</v>
      </c>
      <c r="AI110" s="57">
        <f>+[2]Sheet1!AI110</f>
        <v>9253.3759765625</v>
      </c>
      <c r="AJ110" s="57">
        <f>+[2]Sheet1!AJ110</f>
        <v>9071.3623046875</v>
      </c>
      <c r="AK110" s="57">
        <f>+[2]Sheet1!AK110</f>
        <v>9017.8134765625</v>
      </c>
      <c r="AL110" s="57">
        <f>+[2]Sheet1!AL110</f>
        <v>12338.150390625</v>
      </c>
      <c r="AM110" s="57">
        <f>+[2]Sheet1!AM110</f>
        <v>9874.306640625</v>
      </c>
      <c r="AN110" s="57">
        <f>+[2]Sheet1!AN110</f>
        <v>10749.73828125</v>
      </c>
      <c r="AO110" s="57">
        <f>+[2]Sheet1!AO110</f>
        <v>7504.578125</v>
      </c>
      <c r="AP110" s="57">
        <f>+[2]Sheet1!AP110</f>
        <v>7850.12939453125</v>
      </c>
      <c r="AQ110" s="57">
        <f>+[2]Sheet1!AQ110</f>
        <v>10589.2265625</v>
      </c>
      <c r="AR110" s="57">
        <f>+[2]Sheet1!AR110</f>
        <v>8450.4482421875</v>
      </c>
      <c r="AS110" s="57">
        <f>+[2]Sheet1!AS110</f>
        <v>11304.0302734375</v>
      </c>
      <c r="AT110" s="57">
        <f>+[2]Sheet1!AT110</f>
        <v>10755.69921875</v>
      </c>
      <c r="AU110" s="57">
        <f>+[2]Sheet1!AU110</f>
        <v>9218.0986328125</v>
      </c>
      <c r="AV110" s="57">
        <f>+[2]Sheet1!AV110</f>
        <v>9093.44140625</v>
      </c>
      <c r="AW110" s="57">
        <f>+[2]Sheet1!AW110</f>
        <v>8963.880859375</v>
      </c>
      <c r="AX110" s="57">
        <f>+[2]Sheet1!AX110</f>
        <v>12337.0576171875</v>
      </c>
      <c r="AY110" s="57">
        <f>+[2]Sheet1!AY110</f>
        <v>9909.55078125</v>
      </c>
      <c r="AZ110" s="57">
        <f>+[2]Sheet1!AZ110</f>
        <v>10763.8662109375</v>
      </c>
      <c r="BA110" s="57">
        <f>+[2]Sheet1!BA110</f>
        <v>7522.75634765625</v>
      </c>
      <c r="BB110" s="57">
        <f>+[2]Sheet1!BB110</f>
        <v>7907.07666015625</v>
      </c>
      <c r="BC110" s="57">
        <f>+[2]Sheet1!BC110</f>
        <v>10476.529296875</v>
      </c>
      <c r="BD110" s="57">
        <f>+[2]Sheet1!BD110</f>
        <v>8468.2548828125</v>
      </c>
      <c r="BE110" s="57">
        <f>+[2]Sheet1!BE110</f>
        <v>11194.025390625</v>
      </c>
      <c r="BF110" s="57">
        <f>+[2]Sheet1!BF110</f>
        <v>10723.666015625</v>
      </c>
      <c r="BG110" s="57">
        <f>+[2]Sheet1!BG110</f>
        <v>9235.2158203125</v>
      </c>
      <c r="BH110" s="57">
        <f>+[2]Sheet1!BH110</f>
        <v>9136.9716796875</v>
      </c>
      <c r="BI110" s="57">
        <f>+[2]Sheet1!BI110</f>
        <v>9030.05078125</v>
      </c>
      <c r="BJ110" s="57">
        <f>+[2]Sheet1!BJ110</f>
        <v>12299.1220703125</v>
      </c>
      <c r="BK110" s="57">
        <f>+[2]Sheet1!BK110</f>
        <v>9943.8134765625</v>
      </c>
      <c r="BL110" s="57">
        <f>+[2]Sheet1!BL110</f>
        <v>10102.953125</v>
      </c>
      <c r="BM110" s="57">
        <f>+[2]Sheet1!BM110</f>
        <v>10107.560546875</v>
      </c>
      <c r="BN110" s="57">
        <f>+[2]Sheet1!BN110</f>
        <v>10144.095703125</v>
      </c>
      <c r="BO110" s="57">
        <f>+[2]Sheet1!BO110</f>
        <v>10158.0263671875</v>
      </c>
      <c r="BP110" s="57">
        <f>+[2]Sheet1!BP110</f>
        <v>10143.3369140625</v>
      </c>
      <c r="BQ110" s="57">
        <f>+[2]Sheet1!BQ110</f>
        <v>10730</v>
      </c>
      <c r="BR110" s="57">
        <f>+[2]Sheet1!BR110</f>
        <v>7500.32568359375</v>
      </c>
      <c r="BS110" s="57">
        <f>+[2]Sheet1!BS110</f>
        <v>7822.43505859375</v>
      </c>
      <c r="BT110" s="57">
        <f>+[2]Sheet1!BT110</f>
        <v>10636.96484375</v>
      </c>
      <c r="BU110" s="57">
        <f>+[2]Sheet1!BU110</f>
        <v>8445.5078125</v>
      </c>
      <c r="BV110" s="57">
        <f>+[2]Sheet1!BV110</f>
        <v>11310.3935546875</v>
      </c>
      <c r="BW110" s="57">
        <f>+[2]Sheet1!BW110</f>
        <v>10758.9150390625</v>
      </c>
      <c r="BX110" s="57">
        <f>+[2]Sheet1!BX110</f>
        <v>9236.0703125</v>
      </c>
      <c r="BY110" s="57">
        <f>+[2]Sheet1!BY110</f>
        <v>9091.7744140625</v>
      </c>
      <c r="BZ110" s="57">
        <f>+[2]Sheet1!BZ110</f>
        <v>9003.4189453125</v>
      </c>
      <c r="CA110" s="57">
        <f>+[2]Sheet1!CA110</f>
        <v>12326.4921875</v>
      </c>
      <c r="CB110" s="57">
        <f>+[2]Sheet1!CB110</f>
        <v>9906.4267578125</v>
      </c>
      <c r="CC110" s="57">
        <f>+[2]Sheet1!CC110</f>
        <v>10136.2578125</v>
      </c>
      <c r="CD110" s="57">
        <f>+[2]Sheet1!CD110</f>
        <v>10136.2578125</v>
      </c>
      <c r="CJ110" s="46"/>
      <c r="CK110" s="41"/>
    </row>
    <row r="111" spans="1:89" ht="15.75" thickBot="1" x14ac:dyDescent="0.3">
      <c r="A111" s="2">
        <f>+[1]Sheet1!A111</f>
        <v>46023</v>
      </c>
      <c r="B111" s="1" t="str">
        <f t="shared" si="0"/>
        <v>Enero</v>
      </c>
      <c r="C111" s="1">
        <f t="shared" si="1"/>
        <v>2026</v>
      </c>
      <c r="D111" s="57">
        <f>+[2]Sheet1!D111</f>
        <v>11159.5</v>
      </c>
      <c r="E111" s="57">
        <f>+[2]Sheet1!E111</f>
        <v>7586.2216796875</v>
      </c>
      <c r="F111" s="57">
        <f>+[2]Sheet1!F111</f>
        <v>7681.21875</v>
      </c>
      <c r="G111" s="57">
        <f>+[2]Sheet1!G111</f>
        <v>11427.98828125</v>
      </c>
      <c r="H111" s="57">
        <f>+[2]Sheet1!H111</f>
        <v>8535.287109375</v>
      </c>
      <c r="I111" s="57">
        <f>+[2]Sheet1!I111</f>
        <v>11752.5888671875</v>
      </c>
      <c r="J111" s="57">
        <f>+[2]Sheet1!J111</f>
        <v>11039.736328125</v>
      </c>
      <c r="K111" s="57">
        <f>+[2]Sheet1!K111</f>
        <v>9565.60546875</v>
      </c>
      <c r="L111" s="57">
        <f>+[2]Sheet1!L111</f>
        <v>9120.8876953125</v>
      </c>
      <c r="M111" s="57">
        <f>+[2]Sheet1!M111</f>
        <v>9056.1181640625</v>
      </c>
      <c r="N111" s="57">
        <f>+[2]Sheet1!N111</f>
        <v>12853.3896484375</v>
      </c>
      <c r="O111" s="57">
        <f>+[2]Sheet1!O111</f>
        <v>10118.8837890625</v>
      </c>
      <c r="P111" s="57">
        <f>+[2]Sheet1!P111</f>
        <v>11206.982421875</v>
      </c>
      <c r="Q111" s="57">
        <f>+[2]Sheet1!Q111</f>
        <v>7602.751953125</v>
      </c>
      <c r="R111" s="57">
        <f>+[2]Sheet1!R111</f>
        <v>7749.36767578125</v>
      </c>
      <c r="S111" s="57">
        <f>+[2]Sheet1!S111</f>
        <v>11133.6796875</v>
      </c>
      <c r="T111" s="57">
        <f>+[2]Sheet1!T111</f>
        <v>8568.0771484375</v>
      </c>
      <c r="U111" s="57">
        <f>+[2]Sheet1!U111</f>
        <v>11690.8994140625</v>
      </c>
      <c r="V111" s="57">
        <f>+[2]Sheet1!V111</f>
        <v>11007.783203125</v>
      </c>
      <c r="W111" s="57">
        <f>+[2]Sheet1!W111</f>
        <v>9574.2236328125</v>
      </c>
      <c r="X111" s="57">
        <f>+[2]Sheet1!X111</f>
        <v>9151.7587890625</v>
      </c>
      <c r="Y111" s="57">
        <f>+[2]Sheet1!Y111</f>
        <v>9035.3408203125</v>
      </c>
      <c r="Z111" s="57">
        <f>+[2]Sheet1!Z111</f>
        <v>12861.1513671875</v>
      </c>
      <c r="AA111" s="57">
        <f>+[2]Sheet1!AA111</f>
        <v>10146.0546875</v>
      </c>
      <c r="AB111" s="57">
        <f>+[2]Sheet1!AB111</f>
        <v>11237.4814453125</v>
      </c>
      <c r="AC111" s="57">
        <f>+[2]Sheet1!AC111</f>
        <v>7605.5986328125</v>
      </c>
      <c r="AD111" s="57">
        <f>+[2]Sheet1!AD111</f>
        <v>7782.8134765625</v>
      </c>
      <c r="AE111" s="57">
        <f>+[2]Sheet1!AE111</f>
        <v>10920.4267578125</v>
      </c>
      <c r="AF111" s="57">
        <f>+[2]Sheet1!AF111</f>
        <v>8598.4853515625</v>
      </c>
      <c r="AG111" s="57">
        <f>+[2]Sheet1!AG111</f>
        <v>11718.880859375</v>
      </c>
      <c r="AH111" s="57">
        <f>+[2]Sheet1!AH111</f>
        <v>11001.9111328125</v>
      </c>
      <c r="AI111" s="57">
        <f>+[2]Sheet1!AI111</f>
        <v>9588.30859375</v>
      </c>
      <c r="AJ111" s="57">
        <f>+[2]Sheet1!AJ111</f>
        <v>9164.853515625</v>
      </c>
      <c r="AK111" s="57">
        <f>+[2]Sheet1!AK111</f>
        <v>9077.1982421875</v>
      </c>
      <c r="AL111" s="57">
        <f>+[2]Sheet1!AL111</f>
        <v>12848.4541015625</v>
      </c>
      <c r="AM111" s="57">
        <f>+[2]Sheet1!AM111</f>
        <v>10146.3671875</v>
      </c>
      <c r="AN111" s="57">
        <f>+[2]Sheet1!AN111</f>
        <v>11248.6103515625</v>
      </c>
      <c r="AO111" s="57">
        <f>+[2]Sheet1!AO111</f>
        <v>7621.041015625</v>
      </c>
      <c r="AP111" s="57">
        <f>+[2]Sheet1!AP111</f>
        <v>7822.7939453125</v>
      </c>
      <c r="AQ111" s="57">
        <f>+[2]Sheet1!AQ111</f>
        <v>10906.568359375</v>
      </c>
      <c r="AR111" s="57">
        <f>+[2]Sheet1!AR111</f>
        <v>8607.78125</v>
      </c>
      <c r="AS111" s="57">
        <f>+[2]Sheet1!AS111</f>
        <v>11567.748046875</v>
      </c>
      <c r="AT111" s="57">
        <f>+[2]Sheet1!AT111</f>
        <v>10964.830078125</v>
      </c>
      <c r="AU111" s="57">
        <f>+[2]Sheet1!AU111</f>
        <v>9552.9501953125</v>
      </c>
      <c r="AV111" s="57">
        <f>+[2]Sheet1!AV111</f>
        <v>9187.5517578125</v>
      </c>
      <c r="AW111" s="57">
        <f>+[2]Sheet1!AW111</f>
        <v>9020.6220703125</v>
      </c>
      <c r="AX111" s="57">
        <f>+[2]Sheet1!AX111</f>
        <v>12851.9970703125</v>
      </c>
      <c r="AY111" s="57">
        <f>+[2]Sheet1!AY111</f>
        <v>10184.6337890625</v>
      </c>
      <c r="AZ111" s="57">
        <f>+[2]Sheet1!AZ111</f>
        <v>11268.0830078125</v>
      </c>
      <c r="BA111" s="57">
        <f>+[2]Sheet1!BA111</f>
        <v>7637.712890625</v>
      </c>
      <c r="BB111" s="57">
        <f>+[2]Sheet1!BB111</f>
        <v>7873.30615234375</v>
      </c>
      <c r="BC111" s="57">
        <f>+[2]Sheet1!BC111</f>
        <v>10773.1748046875</v>
      </c>
      <c r="BD111" s="57">
        <f>+[2]Sheet1!BD111</f>
        <v>8620.765625</v>
      </c>
      <c r="BE111" s="57">
        <f>+[2]Sheet1!BE111</f>
        <v>11452.4208984375</v>
      </c>
      <c r="BF111" s="57">
        <f>+[2]Sheet1!BF111</f>
        <v>10922.8427734375</v>
      </c>
      <c r="BG111" s="57">
        <f>+[2]Sheet1!BG111</f>
        <v>9574.1015625</v>
      </c>
      <c r="BH111" s="57">
        <f>+[2]Sheet1!BH111</f>
        <v>9228.384765625</v>
      </c>
      <c r="BI111" s="57">
        <f>+[2]Sheet1!BI111</f>
        <v>9086.90234375</v>
      </c>
      <c r="BJ111" s="57">
        <f>+[2]Sheet1!BJ111</f>
        <v>12825.96484375</v>
      </c>
      <c r="BK111" s="57">
        <f>+[2]Sheet1!BK111</f>
        <v>10220.689453125</v>
      </c>
      <c r="BL111" s="57">
        <f>+[2]Sheet1!BL111</f>
        <v>10426.4365234375</v>
      </c>
      <c r="BM111" s="57">
        <f>+[2]Sheet1!BM111</f>
        <v>10412.6552734375</v>
      </c>
      <c r="BN111" s="57">
        <f>+[2]Sheet1!BN111</f>
        <v>10444.8076171875</v>
      </c>
      <c r="BO111" s="57">
        <f>+[2]Sheet1!BO111</f>
        <v>10447.498046875</v>
      </c>
      <c r="BP111" s="57">
        <f>+[2]Sheet1!BP111</f>
        <v>10418.8623046875</v>
      </c>
      <c r="BQ111" s="57">
        <f>+[2]Sheet1!BQ111</f>
        <v>11226.9599609375</v>
      </c>
      <c r="BR111" s="57">
        <f>+[2]Sheet1!BR111</f>
        <v>7615.40576171875</v>
      </c>
      <c r="BS111" s="57">
        <f>+[2]Sheet1!BS111</f>
        <v>7797.986328125</v>
      </c>
      <c r="BT111" s="57">
        <f>+[2]Sheet1!BT111</f>
        <v>10961.2333984375</v>
      </c>
      <c r="BU111" s="57">
        <f>+[2]Sheet1!BU111</f>
        <v>8600.291015625</v>
      </c>
      <c r="BV111" s="57">
        <f>+[2]Sheet1!BV111</f>
        <v>11574.318359375</v>
      </c>
      <c r="BW111" s="57">
        <f>+[2]Sheet1!BW111</f>
        <v>10968.4052734375</v>
      </c>
      <c r="BX111" s="57">
        <f>+[2]Sheet1!BX111</f>
        <v>9571.04296875</v>
      </c>
      <c r="BY111" s="57">
        <f>+[2]Sheet1!BY111</f>
        <v>9186.9169921875</v>
      </c>
      <c r="BZ111" s="57">
        <f>+[2]Sheet1!BZ111</f>
        <v>9061.080078125</v>
      </c>
      <c r="CA111" s="57">
        <f>+[2]Sheet1!CA111</f>
        <v>12842.0927734375</v>
      </c>
      <c r="CB111" s="57">
        <f>+[2]Sheet1!CB111</f>
        <v>10179.7509765625</v>
      </c>
      <c r="CC111" s="57">
        <f>+[2]Sheet1!CC111</f>
        <v>10429.7880859375</v>
      </c>
      <c r="CD111" s="57">
        <f>+[2]Sheet1!CD111</f>
        <v>10429.7880859375</v>
      </c>
      <c r="CJ111" s="46"/>
      <c r="CK111" s="41"/>
    </row>
    <row r="112" spans="1:89" ht="15.75" thickBot="1" x14ac:dyDescent="0.3">
      <c r="A112" s="2">
        <f>+[1]Sheet1!A112</f>
        <v>46054</v>
      </c>
      <c r="B112" s="1" t="str">
        <f t="shared" si="0"/>
        <v>Febrero</v>
      </c>
      <c r="C112" s="1">
        <f t="shared" si="1"/>
        <v>2026</v>
      </c>
      <c r="D112" s="57">
        <f>+[2]Sheet1!D112</f>
        <v>11558.6669921875</v>
      </c>
      <c r="E112" s="57">
        <f>+[2]Sheet1!E112</f>
        <v>7642.626953125</v>
      </c>
      <c r="F112" s="57">
        <f>+[2]Sheet1!F112</f>
        <v>7689.50244140625</v>
      </c>
      <c r="G112" s="57">
        <f>+[2]Sheet1!G112</f>
        <v>12210.8193359375</v>
      </c>
      <c r="H112" s="57">
        <f>+[2]Sheet1!H112</f>
        <v>8750.3193359375</v>
      </c>
      <c r="I112" s="57">
        <f>+[2]Sheet1!I112</f>
        <v>12041.9599609375</v>
      </c>
      <c r="J112" s="57">
        <f>+[2]Sheet1!J112</f>
        <v>11275.40234375</v>
      </c>
      <c r="K112" s="57">
        <f>+[2]Sheet1!K112</f>
        <v>9737.671875</v>
      </c>
      <c r="L112" s="57">
        <f>+[2]Sheet1!L112</f>
        <v>9338.8369140625</v>
      </c>
      <c r="M112" s="57">
        <f>+[2]Sheet1!M112</f>
        <v>9165.2373046875</v>
      </c>
      <c r="N112" s="57">
        <f>+[2]Sheet1!N112</f>
        <v>13247.5888671875</v>
      </c>
      <c r="O112" s="57">
        <f>+[2]Sheet1!O112</f>
        <v>10437.435546875</v>
      </c>
      <c r="P112" s="57">
        <f>+[2]Sheet1!P112</f>
        <v>11595.3505859375</v>
      </c>
      <c r="Q112" s="57">
        <f>+[2]Sheet1!Q112</f>
        <v>7651.75048828125</v>
      </c>
      <c r="R112" s="57">
        <f>+[2]Sheet1!R112</f>
        <v>7754.05419921875</v>
      </c>
      <c r="S112" s="57">
        <f>+[2]Sheet1!S112</f>
        <v>11905.662109375</v>
      </c>
      <c r="T112" s="57">
        <f>+[2]Sheet1!T112</f>
        <v>8786.705078125</v>
      </c>
      <c r="U112" s="57">
        <f>+[2]Sheet1!U112</f>
        <v>11978.3125</v>
      </c>
      <c r="V112" s="57">
        <f>+[2]Sheet1!V112</f>
        <v>11231.5556640625</v>
      </c>
      <c r="W112" s="57">
        <f>+[2]Sheet1!W112</f>
        <v>9748.4033203125</v>
      </c>
      <c r="X112" s="57">
        <f>+[2]Sheet1!X112</f>
        <v>9372.6435546875</v>
      </c>
      <c r="Y112" s="57">
        <f>+[2]Sheet1!Y112</f>
        <v>9145.15234375</v>
      </c>
      <c r="Z112" s="57">
        <f>+[2]Sheet1!Z112</f>
        <v>13253.2626953125</v>
      </c>
      <c r="AA112" s="57">
        <f>+[2]Sheet1!AA112</f>
        <v>10474.4638671875</v>
      </c>
      <c r="AB112" s="57">
        <f>+[2]Sheet1!AB112</f>
        <v>11617.0498046875</v>
      </c>
      <c r="AC112" s="57">
        <f>+[2]Sheet1!AC112</f>
        <v>7656.7890625</v>
      </c>
      <c r="AD112" s="57">
        <f>+[2]Sheet1!AD112</f>
        <v>7785.55908203125</v>
      </c>
      <c r="AE112" s="57">
        <f>+[2]Sheet1!AE112</f>
        <v>11672.580078125</v>
      </c>
      <c r="AF112" s="57">
        <f>+[2]Sheet1!AF112</f>
        <v>8814.44921875</v>
      </c>
      <c r="AG112" s="57">
        <f>+[2]Sheet1!AG112</f>
        <v>12011.0361328125</v>
      </c>
      <c r="AH112" s="57">
        <f>+[2]Sheet1!AH112</f>
        <v>11220.8134765625</v>
      </c>
      <c r="AI112" s="57">
        <f>+[2]Sheet1!AI112</f>
        <v>9763.9892578125</v>
      </c>
      <c r="AJ112" s="57">
        <f>+[2]Sheet1!AJ112</f>
        <v>9391.84375</v>
      </c>
      <c r="AK112" s="57">
        <f>+[2]Sheet1!AK112</f>
        <v>9187.822265625</v>
      </c>
      <c r="AL112" s="57">
        <f>+[2]Sheet1!AL112</f>
        <v>13238.5703125</v>
      </c>
      <c r="AM112" s="57">
        <f>+[2]Sheet1!AM112</f>
        <v>10479.458984375</v>
      </c>
      <c r="AN112" s="57">
        <f>+[2]Sheet1!AN112</f>
        <v>11620.689453125</v>
      </c>
      <c r="AO112" s="57">
        <f>+[2]Sheet1!AO112</f>
        <v>7672.09912109375</v>
      </c>
      <c r="AP112" s="57">
        <f>+[2]Sheet1!AP112</f>
        <v>7825.9248046875</v>
      </c>
      <c r="AQ112" s="57">
        <f>+[2]Sheet1!AQ112</f>
        <v>11658.2900390625</v>
      </c>
      <c r="AR112" s="57">
        <f>+[2]Sheet1!AR112</f>
        <v>8824.02734375</v>
      </c>
      <c r="AS112" s="57">
        <f>+[2]Sheet1!AS112</f>
        <v>11852.82421875</v>
      </c>
      <c r="AT112" s="57">
        <f>+[2]Sheet1!AT112</f>
        <v>11174.2861328125</v>
      </c>
      <c r="AU112" s="57">
        <f>+[2]Sheet1!AU112</f>
        <v>9727.201171875</v>
      </c>
      <c r="AV112" s="57">
        <f>+[2]Sheet1!AV112</f>
        <v>9405.9619140625</v>
      </c>
      <c r="AW112" s="57">
        <f>+[2]Sheet1!AW112</f>
        <v>9135.935546875</v>
      </c>
      <c r="AX112" s="57">
        <f>+[2]Sheet1!AX112</f>
        <v>13234.75</v>
      </c>
      <c r="AY112" s="57">
        <f>+[2]Sheet1!AY112</f>
        <v>10519.2353515625</v>
      </c>
      <c r="AZ112" s="57">
        <f>+[2]Sheet1!AZ112</f>
        <v>11628.75390625</v>
      </c>
      <c r="BA112" s="57">
        <f>+[2]Sheet1!BA112</f>
        <v>7683.85546875</v>
      </c>
      <c r="BB112" s="57">
        <f>+[2]Sheet1!BB112</f>
        <v>7875.39892578125</v>
      </c>
      <c r="BC112" s="57">
        <f>+[2]Sheet1!BC112</f>
        <v>11507.216796875</v>
      </c>
      <c r="BD112" s="57">
        <f>+[2]Sheet1!BD112</f>
        <v>8845.4794921875</v>
      </c>
      <c r="BE112" s="57">
        <f>+[2]Sheet1!BE112</f>
        <v>11732.5166015625</v>
      </c>
      <c r="BF112" s="57">
        <f>+[2]Sheet1!BF112</f>
        <v>11129.6279296875</v>
      </c>
      <c r="BG112" s="57">
        <f>+[2]Sheet1!BG112</f>
        <v>9751.06640625</v>
      </c>
      <c r="BH112" s="57">
        <f>+[2]Sheet1!BH112</f>
        <v>9437.6494140625</v>
      </c>
      <c r="BI112" s="57">
        <f>+[2]Sheet1!BI112</f>
        <v>9203.818359375</v>
      </c>
      <c r="BJ112" s="57">
        <f>+[2]Sheet1!BJ112</f>
        <v>13201.4609375</v>
      </c>
      <c r="BK112" s="57">
        <f>+[2]Sheet1!BK112</f>
        <v>10562.0341796875</v>
      </c>
      <c r="BL112" s="57">
        <f>+[2]Sheet1!BL112</f>
        <v>10752.6845703125</v>
      </c>
      <c r="BM112" s="57">
        <f>+[2]Sheet1!BM112</f>
        <v>10727.041015625</v>
      </c>
      <c r="BN112" s="57">
        <f>+[2]Sheet1!BN112</f>
        <v>10754.115234375</v>
      </c>
      <c r="BO112" s="57">
        <f>+[2]Sheet1!BO112</f>
        <v>10747.1962890625</v>
      </c>
      <c r="BP112" s="57">
        <f>+[2]Sheet1!BP112</f>
        <v>10712.396484375</v>
      </c>
      <c r="BQ112" s="57">
        <f>+[2]Sheet1!BQ112</f>
        <v>11605.8701171875</v>
      </c>
      <c r="BR112" s="57">
        <f>+[2]Sheet1!BR112</f>
        <v>7665.3134765625</v>
      </c>
      <c r="BS112" s="57">
        <f>+[2]Sheet1!BS112</f>
        <v>7801.7216796875</v>
      </c>
      <c r="BT112" s="57">
        <f>+[2]Sheet1!BT112</f>
        <v>11713.986328125</v>
      </c>
      <c r="BU112" s="57">
        <f>+[2]Sheet1!BU112</f>
        <v>8820.2080078125</v>
      </c>
      <c r="BV112" s="57">
        <f>+[2]Sheet1!BV112</f>
        <v>11859.1474609375</v>
      </c>
      <c r="BW112" s="57">
        <f>+[2]Sheet1!BW112</f>
        <v>11182.7392578125</v>
      </c>
      <c r="BX112" s="57">
        <f>+[2]Sheet1!BX112</f>
        <v>9746.0966796875</v>
      </c>
      <c r="BY112" s="57">
        <f>+[2]Sheet1!BY112</f>
        <v>9403.642578125</v>
      </c>
      <c r="BZ112" s="57">
        <f>+[2]Sheet1!BZ112</f>
        <v>9175.1162109375</v>
      </c>
      <c r="CA112" s="57">
        <f>+[2]Sheet1!CA112</f>
        <v>13225.1396484375</v>
      </c>
      <c r="CB112" s="57">
        <f>+[2]Sheet1!CB112</f>
        <v>10514.16015625</v>
      </c>
      <c r="CC112" s="57">
        <f>+[2]Sheet1!CC112</f>
        <v>10734.7138671875</v>
      </c>
      <c r="CD112" s="57">
        <f>+[2]Sheet1!CD112</f>
        <v>10734.712890625</v>
      </c>
      <c r="CJ112" s="46"/>
      <c r="CK112" s="41"/>
    </row>
    <row r="113" spans="1:89" ht="15.75" thickBot="1" x14ac:dyDescent="0.3">
      <c r="A113" s="2">
        <f>+[1]Sheet1!A113</f>
        <v>46082</v>
      </c>
      <c r="B113" s="1" t="str">
        <f t="shared" si="0"/>
        <v>Marzo</v>
      </c>
      <c r="C113" s="1">
        <f t="shared" si="1"/>
        <v>2026</v>
      </c>
      <c r="D113" s="57">
        <f>+[2]Sheet1!D113</f>
        <v>11977.720703125</v>
      </c>
      <c r="E113" s="57">
        <f>+[2]Sheet1!E113</f>
        <v>7806.9453125</v>
      </c>
      <c r="F113" s="57">
        <f>+[2]Sheet1!F113</f>
        <v>7896.73681640625</v>
      </c>
      <c r="G113" s="57">
        <f>+[2]Sheet1!G113</f>
        <v>12727.0546875</v>
      </c>
      <c r="H113" s="57">
        <f>+[2]Sheet1!H113</f>
        <v>8859.6337890625</v>
      </c>
      <c r="I113" s="57">
        <f>+[2]Sheet1!I113</f>
        <v>12346.4404296875</v>
      </c>
      <c r="J113" s="57">
        <f>+[2]Sheet1!J113</f>
        <v>11730.95703125</v>
      </c>
      <c r="K113" s="57">
        <f>+[2]Sheet1!K113</f>
        <v>10020.048828125</v>
      </c>
      <c r="L113" s="57">
        <f>+[2]Sheet1!L113</f>
        <v>9669.0693359375</v>
      </c>
      <c r="M113" s="57">
        <f>+[2]Sheet1!M113</f>
        <v>10361.8232421875</v>
      </c>
      <c r="N113" s="57">
        <f>+[2]Sheet1!N113</f>
        <v>13717.1591796875</v>
      </c>
      <c r="O113" s="57">
        <f>+[2]Sheet1!O113</f>
        <v>10615.5107421875</v>
      </c>
      <c r="P113" s="57">
        <f>+[2]Sheet1!P113</f>
        <v>12001.3955078125</v>
      </c>
      <c r="Q113" s="57">
        <f>+[2]Sheet1!Q113</f>
        <v>7815.2197265625</v>
      </c>
      <c r="R113" s="57">
        <f>+[2]Sheet1!R113</f>
        <v>7974.37109375</v>
      </c>
      <c r="S113" s="57">
        <f>+[2]Sheet1!S113</f>
        <v>12365.3466796875</v>
      </c>
      <c r="T113" s="57">
        <f>+[2]Sheet1!T113</f>
        <v>8897.7568359375</v>
      </c>
      <c r="U113" s="57">
        <f>+[2]Sheet1!U113</f>
        <v>12287.5380859375</v>
      </c>
      <c r="V113" s="57">
        <f>+[2]Sheet1!V113</f>
        <v>11688.9013671875</v>
      </c>
      <c r="W113" s="57">
        <f>+[2]Sheet1!W113</f>
        <v>10031.966796875</v>
      </c>
      <c r="X113" s="57">
        <f>+[2]Sheet1!X113</f>
        <v>9709.3701171875</v>
      </c>
      <c r="Y113" s="57">
        <f>+[2]Sheet1!Y113</f>
        <v>10244.373046875</v>
      </c>
      <c r="Z113" s="57">
        <f>+[2]Sheet1!Z113</f>
        <v>13716.8193359375</v>
      </c>
      <c r="AA113" s="57">
        <f>+[2]Sheet1!AA113</f>
        <v>10650.9384765625</v>
      </c>
      <c r="AB113" s="57">
        <f>+[2]Sheet1!AB113</f>
        <v>12013.5234375</v>
      </c>
      <c r="AC113" s="57">
        <f>+[2]Sheet1!AC113</f>
        <v>7820.09423828125</v>
      </c>
      <c r="AD113" s="57">
        <f>+[2]Sheet1!AD113</f>
        <v>8010.82275390625</v>
      </c>
      <c r="AE113" s="57">
        <f>+[2]Sheet1!AE113</f>
        <v>12098.46875</v>
      </c>
      <c r="AF113" s="57">
        <f>+[2]Sheet1!AF113</f>
        <v>8927.7998046875</v>
      </c>
      <c r="AG113" s="57">
        <f>+[2]Sheet1!AG113</f>
        <v>12321.865234375</v>
      </c>
      <c r="AH113" s="57">
        <f>+[2]Sheet1!AH113</f>
        <v>11675.904296875</v>
      </c>
      <c r="AI113" s="57">
        <f>+[2]Sheet1!AI113</f>
        <v>10048.4970703125</v>
      </c>
      <c r="AJ113" s="57">
        <f>+[2]Sheet1!AJ113</f>
        <v>9732.2626953125</v>
      </c>
      <c r="AK113" s="57">
        <f>+[2]Sheet1!AK113</f>
        <v>10271.92578125</v>
      </c>
      <c r="AL113" s="57">
        <f>+[2]Sheet1!AL113</f>
        <v>13696.0126953125</v>
      </c>
      <c r="AM113" s="57">
        <f>+[2]Sheet1!AM113</f>
        <v>10654.9443359375</v>
      </c>
      <c r="AN113" s="57">
        <f>+[2]Sheet1!AN113</f>
        <v>12009.7890625</v>
      </c>
      <c r="AO113" s="57">
        <f>+[2]Sheet1!AO113</f>
        <v>7834.56201171875</v>
      </c>
      <c r="AP113" s="57">
        <f>+[2]Sheet1!AP113</f>
        <v>8059.1484375</v>
      </c>
      <c r="AQ113" s="57">
        <f>+[2]Sheet1!AQ113</f>
        <v>12073.6025390625</v>
      </c>
      <c r="AR113" s="57">
        <f>+[2]Sheet1!AR113</f>
        <v>8936.7265625</v>
      </c>
      <c r="AS113" s="57">
        <f>+[2]Sheet1!AS113</f>
        <v>12170.2333984375</v>
      </c>
      <c r="AT113" s="57">
        <f>+[2]Sheet1!AT113</f>
        <v>11630.974609375</v>
      </c>
      <c r="AU113" s="57">
        <f>+[2]Sheet1!AU113</f>
        <v>10010.2333984375</v>
      </c>
      <c r="AV113" s="57">
        <f>+[2]Sheet1!AV113</f>
        <v>9739.498046875</v>
      </c>
      <c r="AW113" s="57">
        <f>+[2]Sheet1!AW113</f>
        <v>10198.478515625</v>
      </c>
      <c r="AX113" s="57">
        <f>+[2]Sheet1!AX113</f>
        <v>13683.0654296875</v>
      </c>
      <c r="AY113" s="57">
        <f>+[2]Sheet1!AY113</f>
        <v>10694.9638671875</v>
      </c>
      <c r="AZ113" s="57">
        <f>+[2]Sheet1!AZ113</f>
        <v>12005.740234375</v>
      </c>
      <c r="BA113" s="57">
        <f>+[2]Sheet1!BA113</f>
        <v>7845.6748046875</v>
      </c>
      <c r="BB113" s="57">
        <f>+[2]Sheet1!BB113</f>
        <v>8118.79833984375</v>
      </c>
      <c r="BC113" s="57">
        <f>+[2]Sheet1!BC113</f>
        <v>11898.3671875</v>
      </c>
      <c r="BD113" s="57">
        <f>+[2]Sheet1!BD113</f>
        <v>8956.7021484375</v>
      </c>
      <c r="BE113" s="57">
        <f>+[2]Sheet1!BE113</f>
        <v>12055.9599609375</v>
      </c>
      <c r="BF113" s="57">
        <f>+[2]Sheet1!BF113</f>
        <v>11589.1787109375</v>
      </c>
      <c r="BG113" s="57">
        <f>+[2]Sheet1!BG113</f>
        <v>10035.4033203125</v>
      </c>
      <c r="BH113" s="57">
        <f>+[2]Sheet1!BH113</f>
        <v>9767.6103515625</v>
      </c>
      <c r="BI113" s="57">
        <f>+[2]Sheet1!BI113</f>
        <v>10229.291015625</v>
      </c>
      <c r="BJ113" s="57">
        <f>+[2]Sheet1!BJ113</f>
        <v>13644.8271484375</v>
      </c>
      <c r="BK113" s="57">
        <f>+[2]Sheet1!BK113</f>
        <v>10739.7958984375</v>
      </c>
      <c r="BL113" s="57">
        <f>+[2]Sheet1!BL113</f>
        <v>11125.6640625</v>
      </c>
      <c r="BM113" s="57">
        <f>+[2]Sheet1!BM113</f>
        <v>11094.171875</v>
      </c>
      <c r="BN113" s="57">
        <f>+[2]Sheet1!BN113</f>
        <v>11117.5947265625</v>
      </c>
      <c r="BO113" s="57">
        <f>+[2]Sheet1!BO113</f>
        <v>11108.2685546875</v>
      </c>
      <c r="BP113" s="57">
        <f>+[2]Sheet1!BP113</f>
        <v>11066.279296875</v>
      </c>
      <c r="BQ113" s="57">
        <f>+[2]Sheet1!BQ113</f>
        <v>12002.2587890625</v>
      </c>
      <c r="BR113" s="57">
        <f>+[2]Sheet1!BR113</f>
        <v>7828.1611328125</v>
      </c>
      <c r="BS113" s="57">
        <f>+[2]Sheet1!BS113</f>
        <v>8030.6298828125</v>
      </c>
      <c r="BT113" s="57">
        <f>+[2]Sheet1!BT113</f>
        <v>12141.8974609375</v>
      </c>
      <c r="BU113" s="57">
        <f>+[2]Sheet1!BU113</f>
        <v>8931.8818359375</v>
      </c>
      <c r="BV113" s="57">
        <f>+[2]Sheet1!BV113</f>
        <v>12175.9873046875</v>
      </c>
      <c r="BW113" s="57">
        <f>+[2]Sheet1!BW113</f>
        <v>11640.1884765625</v>
      </c>
      <c r="BX113" s="57">
        <f>+[2]Sheet1!BX113</f>
        <v>10029.8095703125</v>
      </c>
      <c r="BY113" s="57">
        <f>+[2]Sheet1!BY113</f>
        <v>9737.0751953125</v>
      </c>
      <c r="BZ113" s="57">
        <f>+[2]Sheet1!BZ113</f>
        <v>10239.814453125</v>
      </c>
      <c r="CA113" s="57">
        <f>+[2]Sheet1!CA113</f>
        <v>13676.4775390625</v>
      </c>
      <c r="CB113" s="57">
        <f>+[2]Sheet1!CB113</f>
        <v>10690.9365234375</v>
      </c>
      <c r="CC113" s="57">
        <f>+[2]Sheet1!CC113</f>
        <v>11096.2822265625</v>
      </c>
      <c r="CD113" s="57">
        <f>+[2]Sheet1!CD113</f>
        <v>11096.2822265625</v>
      </c>
      <c r="CJ113" s="46"/>
      <c r="CK113" s="41"/>
    </row>
    <row r="114" spans="1:89" ht="15.75" thickBot="1" x14ac:dyDescent="0.3">
      <c r="A114" s="2">
        <f>+[1]Sheet1!A114</f>
        <v>46113</v>
      </c>
      <c r="B114" s="1" t="str">
        <f t="shared" si="0"/>
        <v>Abril</v>
      </c>
      <c r="C114" s="1">
        <f t="shared" si="1"/>
        <v>2026</v>
      </c>
      <c r="D114" s="57">
        <f>+[2]Sheet1!D114</f>
        <v>12165.466796875</v>
      </c>
      <c r="E114" s="57">
        <f>+[2]Sheet1!E114</f>
        <v>7952.2109375</v>
      </c>
      <c r="F114" s="57">
        <f>+[2]Sheet1!F114</f>
        <v>8123.958984375</v>
      </c>
      <c r="G114" s="57">
        <f>+[2]Sheet1!G114</f>
        <v>13155.908203125</v>
      </c>
      <c r="H114" s="57">
        <f>+[2]Sheet1!H114</f>
        <v>9096.3515625</v>
      </c>
      <c r="I114" s="57">
        <f>+[2]Sheet1!I114</f>
        <v>12651.544921875</v>
      </c>
      <c r="J114" s="57">
        <f>+[2]Sheet1!J114</f>
        <v>12276.40234375</v>
      </c>
      <c r="K114" s="57">
        <f>+[2]Sheet1!K114</f>
        <v>10430.4228515625</v>
      </c>
      <c r="L114" s="57">
        <f>+[2]Sheet1!L114</f>
        <v>9765.4697265625</v>
      </c>
      <c r="M114" s="57">
        <f>+[2]Sheet1!M114</f>
        <v>10771.228515625</v>
      </c>
      <c r="N114" s="57">
        <f>+[2]Sheet1!N114</f>
        <v>14095.0908203125</v>
      </c>
      <c r="O114" s="57">
        <f>+[2]Sheet1!O114</f>
        <v>10867.6572265625</v>
      </c>
      <c r="P114" s="57">
        <f>+[2]Sheet1!P114</f>
        <v>12181.9287109375</v>
      </c>
      <c r="Q114" s="57">
        <f>+[2]Sheet1!Q114</f>
        <v>7961.72314453125</v>
      </c>
      <c r="R114" s="57">
        <f>+[2]Sheet1!R114</f>
        <v>8212.521484375</v>
      </c>
      <c r="S114" s="57">
        <f>+[2]Sheet1!S114</f>
        <v>12787.80859375</v>
      </c>
      <c r="T114" s="57">
        <f>+[2]Sheet1!T114</f>
        <v>9146.025390625</v>
      </c>
      <c r="U114" s="57">
        <f>+[2]Sheet1!U114</f>
        <v>12593.9677734375</v>
      </c>
      <c r="V114" s="57">
        <f>+[2]Sheet1!V114</f>
        <v>12221.4345703125</v>
      </c>
      <c r="W114" s="57">
        <f>+[2]Sheet1!W114</f>
        <v>10440.9111328125</v>
      </c>
      <c r="X114" s="57">
        <f>+[2]Sheet1!X114</f>
        <v>9800.642578125</v>
      </c>
      <c r="Y114" s="57">
        <f>+[2]Sheet1!Y114</f>
        <v>10697.916015625</v>
      </c>
      <c r="Z114" s="57">
        <f>+[2]Sheet1!Z114</f>
        <v>14087.4892578125</v>
      </c>
      <c r="AA114" s="57">
        <f>+[2]Sheet1!AA114</f>
        <v>10910.71484375</v>
      </c>
      <c r="AB114" s="57">
        <f>+[2]Sheet1!AB114</f>
        <v>12193.2001953125</v>
      </c>
      <c r="AC114" s="57">
        <f>+[2]Sheet1!AC114</f>
        <v>7964.5</v>
      </c>
      <c r="AD114" s="57">
        <f>+[2]Sheet1!AD114</f>
        <v>8250.9892578125</v>
      </c>
      <c r="AE114" s="57">
        <f>+[2]Sheet1!AE114</f>
        <v>12511.150390625</v>
      </c>
      <c r="AF114" s="57">
        <f>+[2]Sheet1!AF114</f>
        <v>9183.7353515625</v>
      </c>
      <c r="AG114" s="57">
        <f>+[2]Sheet1!AG114</f>
        <v>12629.1787109375</v>
      </c>
      <c r="AH114" s="57">
        <f>+[2]Sheet1!AH114</f>
        <v>12203.83984375</v>
      </c>
      <c r="AI114" s="57">
        <f>+[2]Sheet1!AI114</f>
        <v>10457.009765625</v>
      </c>
      <c r="AJ114" s="57">
        <f>+[2]Sheet1!AJ114</f>
        <v>9820.1767578125</v>
      </c>
      <c r="AK114" s="57">
        <f>+[2]Sheet1!AK114</f>
        <v>10735.6015625</v>
      </c>
      <c r="AL114" s="57">
        <f>+[2]Sheet1!AL114</f>
        <v>14059.099609375</v>
      </c>
      <c r="AM114" s="57">
        <f>+[2]Sheet1!AM114</f>
        <v>10917.017578125</v>
      </c>
      <c r="AN114" s="57">
        <f>+[2]Sheet1!AN114</f>
        <v>12189.3134765625</v>
      </c>
      <c r="AO114" s="57">
        <f>+[2]Sheet1!AO114</f>
        <v>7981.0546875</v>
      </c>
      <c r="AP114" s="57">
        <f>+[2]Sheet1!AP114</f>
        <v>8307.634765625</v>
      </c>
      <c r="AQ114" s="57">
        <f>+[2]Sheet1!AQ114</f>
        <v>12491.873046875</v>
      </c>
      <c r="AR114" s="57">
        <f>+[2]Sheet1!AR114</f>
        <v>9194.6904296875</v>
      </c>
      <c r="AS114" s="57">
        <f>+[2]Sheet1!AS114</f>
        <v>12477.9365234375</v>
      </c>
      <c r="AT114" s="57">
        <f>+[2]Sheet1!AT114</f>
        <v>12143.890625</v>
      </c>
      <c r="AU114" s="57">
        <f>+[2]Sheet1!AU114</f>
        <v>10415.1220703125</v>
      </c>
      <c r="AV114" s="57">
        <f>+[2]Sheet1!AV114</f>
        <v>9831.482421875</v>
      </c>
      <c r="AW114" s="57">
        <f>+[2]Sheet1!AW114</f>
        <v>10657.9287109375</v>
      </c>
      <c r="AX114" s="57">
        <f>+[2]Sheet1!AX114</f>
        <v>14040.0234375</v>
      </c>
      <c r="AY114" s="57">
        <f>+[2]Sheet1!AY114</f>
        <v>10962.7177734375</v>
      </c>
      <c r="AZ114" s="57">
        <f>+[2]Sheet1!AZ114</f>
        <v>12182.939453125</v>
      </c>
      <c r="BA114" s="57">
        <f>+[2]Sheet1!BA114</f>
        <v>7994.56005859375</v>
      </c>
      <c r="BB114" s="57">
        <f>+[2]Sheet1!BB114</f>
        <v>8376.0791015625</v>
      </c>
      <c r="BC114" s="57">
        <f>+[2]Sheet1!BC114</f>
        <v>12333.1396484375</v>
      </c>
      <c r="BD114" s="57">
        <f>+[2]Sheet1!BD114</f>
        <v>9222.701171875</v>
      </c>
      <c r="BE114" s="57">
        <f>+[2]Sheet1!BE114</f>
        <v>12364.36328125</v>
      </c>
      <c r="BF114" s="57">
        <f>+[2]Sheet1!BF114</f>
        <v>12090.330078125</v>
      </c>
      <c r="BG114" s="57">
        <f>+[2]Sheet1!BG114</f>
        <v>10438.31640625</v>
      </c>
      <c r="BH114" s="57">
        <f>+[2]Sheet1!BH114</f>
        <v>9865.04296875</v>
      </c>
      <c r="BI114" s="57">
        <f>+[2]Sheet1!BI114</f>
        <v>10724.72265625</v>
      </c>
      <c r="BJ114" s="57">
        <f>+[2]Sheet1!BJ114</f>
        <v>13994.5009765625</v>
      </c>
      <c r="BK114" s="57">
        <f>+[2]Sheet1!BK114</f>
        <v>11014.6884765625</v>
      </c>
      <c r="BL114" s="57">
        <f>+[2]Sheet1!BL114</f>
        <v>11389.412109375</v>
      </c>
      <c r="BM114" s="57">
        <f>+[2]Sheet1!BM114</f>
        <v>11371.5546875</v>
      </c>
      <c r="BN114" s="57">
        <f>+[2]Sheet1!BN114</f>
        <v>11398.3876953125</v>
      </c>
      <c r="BO114" s="57">
        <f>+[2]Sheet1!BO114</f>
        <v>11399.2939453125</v>
      </c>
      <c r="BP114" s="57">
        <f>+[2]Sheet1!BP114</f>
        <v>11365.7626953125</v>
      </c>
      <c r="BQ114" s="57">
        <f>+[2]Sheet1!BQ114</f>
        <v>12182.955078125</v>
      </c>
      <c r="BR114" s="57">
        <f>+[2]Sheet1!BR114</f>
        <v>7974.86279296875</v>
      </c>
      <c r="BS114" s="57">
        <f>+[2]Sheet1!BS114</f>
        <v>8275.419921875</v>
      </c>
      <c r="BT114" s="57">
        <f>+[2]Sheet1!BT114</f>
        <v>12566.517578125</v>
      </c>
      <c r="BU114" s="57">
        <f>+[2]Sheet1!BU114</f>
        <v>9189.759765625</v>
      </c>
      <c r="BV114" s="57">
        <f>+[2]Sheet1!BV114</f>
        <v>12483.564453125</v>
      </c>
      <c r="BW114" s="57">
        <f>+[2]Sheet1!BW114</f>
        <v>12156.935546875</v>
      </c>
      <c r="BX114" s="57">
        <f>+[2]Sheet1!BX114</f>
        <v>10436.1484375</v>
      </c>
      <c r="BY114" s="57">
        <f>+[2]Sheet1!BY114</f>
        <v>9830.7783203125</v>
      </c>
      <c r="BZ114" s="57">
        <f>+[2]Sheet1!BZ114</f>
        <v>10710.4306640625</v>
      </c>
      <c r="CA114" s="57">
        <f>+[2]Sheet1!CA114</f>
        <v>14034.818359375</v>
      </c>
      <c r="CB114" s="57">
        <f>+[2]Sheet1!CB114</f>
        <v>10957.740234375</v>
      </c>
      <c r="CC114" s="57">
        <f>+[2]Sheet1!CC114</f>
        <v>11382.7841796875</v>
      </c>
      <c r="CD114" s="57">
        <f>+[2]Sheet1!CD114</f>
        <v>11382.7841796875</v>
      </c>
      <c r="CJ114" s="46"/>
      <c r="CK114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6"/>
  <sheetViews>
    <sheetView zoomScaleNormal="100" workbookViewId="0">
      <pane xSplit="3" ySplit="3" topLeftCell="BU109" activePane="bottomRight" state="frozen"/>
      <selection pane="topRight" activeCell="D1" sqref="D1"/>
      <selection pane="bottomLeft" activeCell="A4" sqref="A4"/>
      <selection pane="bottomRight" activeCell="A116" sqref="A116:XFD116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  <row r="111" spans="1:84" x14ac:dyDescent="0.25">
      <c r="A111" s="2">
        <f>+'Indice PondENGHO'!A109</f>
        <v>45962</v>
      </c>
      <c r="B111" s="1" t="str">
        <f>+'Indice PondENGHO'!B109</f>
        <v>Noviembre</v>
      </c>
      <c r="C111" s="1">
        <f>+'Indice PondENGHO'!C109</f>
        <v>2025</v>
      </c>
      <c r="D111" s="10">
        <f>+'Indice PondENGHO'!D109/'Indice PondENGHO'!D108-1</f>
        <v>2.9210238104580011E-2</v>
      </c>
      <c r="E111" s="3">
        <f>+'Indice PondENGHO'!E109/'Indice PondENGHO'!E108-1</f>
        <v>1.1482705600364573E-2</v>
      </c>
      <c r="F111" s="3">
        <f>+'Indice PondENGHO'!F109/'Indice PondENGHO'!F108-1</f>
        <v>5.9551932403849595E-3</v>
      </c>
      <c r="G111" s="3">
        <f>+'Indice PondENGHO'!G109/'Indice PondENGHO'!G108-1</f>
        <v>3.3520301757945514E-2</v>
      </c>
      <c r="H111" s="3">
        <f>+'Indice PondENGHO'!H109/'Indice PondENGHO'!H108-1</f>
        <v>1.1458363931680537E-2</v>
      </c>
      <c r="I111" s="3">
        <f>+'Indice PondENGHO'!I109/'Indice PondENGHO'!I108-1</f>
        <v>2.3692700590014715E-2</v>
      </c>
      <c r="J111" s="3">
        <f>+'Indice PondENGHO'!J109/'Indice PondENGHO'!J108-1</f>
        <v>3.060947681913917E-2</v>
      </c>
      <c r="K111" s="3">
        <f>+'Indice PondENGHO'!K109/'Indice PondENGHO'!K108-1</f>
        <v>2.6640143414618178E-2</v>
      </c>
      <c r="L111" s="3">
        <f>+'Indice PondENGHO'!L109/'Indice PondENGHO'!L108-1</f>
        <v>2.2591047099102202E-2</v>
      </c>
      <c r="M111" s="3">
        <f>+'Indice PondENGHO'!M109/'Indice PondENGHO'!M108-1</f>
        <v>2.1536183266761322E-2</v>
      </c>
      <c r="N111" s="3">
        <f>+'Indice PondENGHO'!N109/'Indice PondENGHO'!N108-1</f>
        <v>2.1858484640393083E-2</v>
      </c>
      <c r="O111" s="11">
        <f>+'Indice PondENGHO'!O109/'Indice PondENGHO'!O108-1</f>
        <v>2.4424281013434523E-2</v>
      </c>
      <c r="P111" s="3">
        <f>+'Indice PondENGHO'!P109/'Indice PondENGHO'!P108-1</f>
        <v>2.8781681928660374E-2</v>
      </c>
      <c r="Q111" s="3">
        <f>+'Indice PondENGHO'!Q109/'Indice PondENGHO'!Q108-1</f>
        <v>1.164329069189729E-2</v>
      </c>
      <c r="R111" s="3">
        <f>+'Indice PondENGHO'!R109/'Indice PondENGHO'!R108-1</f>
        <v>5.7138721555678451E-3</v>
      </c>
      <c r="S111" s="3">
        <f>+'Indice PondENGHO'!S109/'Indice PondENGHO'!S108-1</f>
        <v>3.445534573184128E-2</v>
      </c>
      <c r="T111" s="3">
        <f>+'Indice PondENGHO'!T109/'Indice PondENGHO'!T108-1</f>
        <v>1.13718534611007E-2</v>
      </c>
      <c r="U111" s="3">
        <f>+'Indice PondENGHO'!U109/'Indice PondENGHO'!U108-1</f>
        <v>2.3795478772389522E-2</v>
      </c>
      <c r="V111" s="3">
        <f>+'Indice PondENGHO'!V109/'Indice PondENGHO'!V108-1</f>
        <v>3.0850506720274229E-2</v>
      </c>
      <c r="W111" s="3">
        <f>+'Indice PondENGHO'!W109/'Indice PondENGHO'!W108-1</f>
        <v>2.6685652072168331E-2</v>
      </c>
      <c r="X111" s="3">
        <f>+'Indice PondENGHO'!X109/'Indice PondENGHO'!X108-1</f>
        <v>2.3597276705392023E-2</v>
      </c>
      <c r="Y111" s="3">
        <f>+'Indice PondENGHO'!Y109/'Indice PondENGHO'!Y108-1</f>
        <v>2.3939946662214107E-2</v>
      </c>
      <c r="Z111" s="3">
        <f>+'Indice PondENGHO'!Z109/'Indice PondENGHO'!Z108-1</f>
        <v>2.2831082206602682E-2</v>
      </c>
      <c r="AA111" s="3">
        <f>+'Indice PondENGHO'!AA109/'Indice PondENGHO'!AA108-1</f>
        <v>2.4979713101031864E-2</v>
      </c>
      <c r="AB111" s="10">
        <f>+'Indice PondENGHO'!AB109/'Indice PondENGHO'!AB108-1</f>
        <v>2.8349876959872677E-2</v>
      </c>
      <c r="AC111" s="3">
        <f>+'Indice PondENGHO'!AC109/'Indice PondENGHO'!AC108-1</f>
        <v>1.1651090933988195E-2</v>
      </c>
      <c r="AD111" s="3">
        <f>+'Indice PondENGHO'!AD109/'Indice PondENGHO'!AD108-1</f>
        <v>5.8057028756024476E-3</v>
      </c>
      <c r="AE111" s="3">
        <f>+'Indice PondENGHO'!AE109/'Indice PondENGHO'!AE108-1</f>
        <v>3.4771493604339287E-2</v>
      </c>
      <c r="AF111" s="3">
        <f>+'Indice PondENGHO'!AF109/'Indice PondENGHO'!AF108-1</f>
        <v>1.1243917841360584E-2</v>
      </c>
      <c r="AG111" s="3">
        <f>+'Indice PondENGHO'!AG109/'Indice PondENGHO'!AG108-1</f>
        <v>2.3802673873715818E-2</v>
      </c>
      <c r="AH111" s="3">
        <f>+'Indice PondENGHO'!AH109/'Indice PondENGHO'!AH108-1</f>
        <v>3.0805174551882475E-2</v>
      </c>
      <c r="AI111" s="3">
        <f>+'Indice PondENGHO'!AI109/'Indice PondENGHO'!AI108-1</f>
        <v>2.6754642611063861E-2</v>
      </c>
      <c r="AJ111" s="3">
        <f>+'Indice PondENGHO'!AJ109/'Indice PondENGHO'!AJ108-1</f>
        <v>2.4163585580062596E-2</v>
      </c>
      <c r="AK111" s="3">
        <f>+'Indice PondENGHO'!AK109/'Indice PondENGHO'!AK108-1</f>
        <v>2.4454208477914019E-2</v>
      </c>
      <c r="AL111" s="3">
        <f>+'Indice PondENGHO'!AL109/'Indice PondENGHO'!AL108-1</f>
        <v>2.4006231384462229E-2</v>
      </c>
      <c r="AM111" s="11">
        <f>+'Indice PondENGHO'!AM109/'Indice PondENGHO'!AM108-1</f>
        <v>2.5194329590226827E-2</v>
      </c>
      <c r="AN111" s="3">
        <f>+'Indice PondENGHO'!AN109/'Indice PondENGHO'!AN108-1</f>
        <v>2.7990139969479966E-2</v>
      </c>
      <c r="AO111" s="3">
        <f>+'Indice PondENGHO'!AO109/'Indice PondENGHO'!AO108-1</f>
        <v>1.1724501550347322E-2</v>
      </c>
      <c r="AP111" s="3">
        <f>+'Indice PondENGHO'!AP109/'Indice PondENGHO'!AP108-1</f>
        <v>5.1992677685779309E-3</v>
      </c>
      <c r="AQ111" s="3">
        <f>+'Indice PondENGHO'!AQ109/'Indice PondENGHO'!AQ108-1</f>
        <v>3.5125703637682415E-2</v>
      </c>
      <c r="AR111" s="3">
        <f>+'Indice PondENGHO'!AR109/'Indice PondENGHO'!AR108-1</f>
        <v>1.1309535089127465E-2</v>
      </c>
      <c r="AS111" s="3">
        <f>+'Indice PondENGHO'!AS109/'Indice PondENGHO'!AS108-1</f>
        <v>2.4036194363028507E-2</v>
      </c>
      <c r="AT111" s="3">
        <f>+'Indice PondENGHO'!AT109/'Indice PondENGHO'!AT108-1</f>
        <v>3.0741254183365818E-2</v>
      </c>
      <c r="AU111" s="3">
        <f>+'Indice PondENGHO'!AU109/'Indice PondENGHO'!AU108-1</f>
        <v>2.6898436874900566E-2</v>
      </c>
      <c r="AV111" s="3">
        <f>+'Indice PondENGHO'!AV109/'Indice PondENGHO'!AV108-1</f>
        <v>2.4557216508047652E-2</v>
      </c>
      <c r="AW111" s="3">
        <f>+'Indice PondENGHO'!AW109/'Indice PondENGHO'!AW108-1</f>
        <v>2.4382014729085189E-2</v>
      </c>
      <c r="AX111" s="3">
        <f>+'Indice PondENGHO'!AX109/'Indice PondENGHO'!AX108-1</f>
        <v>2.4504948466059995E-2</v>
      </c>
      <c r="AY111" s="3">
        <f>+'Indice PondENGHO'!AY109/'Indice PondENGHO'!AY108-1</f>
        <v>2.5171562286772531E-2</v>
      </c>
      <c r="AZ111" s="10">
        <f>+'Indice PondENGHO'!AZ109/'Indice PondENGHO'!AZ108-1</f>
        <v>2.7592982377948605E-2</v>
      </c>
      <c r="BA111" s="3">
        <f>+'Indice PondENGHO'!BA109/'Indice PondENGHO'!BA108-1</f>
        <v>1.182654588465315E-2</v>
      </c>
      <c r="BB111" s="3">
        <f>+'Indice PondENGHO'!BB109/'Indice PondENGHO'!BB108-1</f>
        <v>4.7656943267024854E-3</v>
      </c>
      <c r="BC111" s="3">
        <f>+'Indice PondENGHO'!BC109/'Indice PondENGHO'!BC108-1</f>
        <v>3.5344579727738523E-2</v>
      </c>
      <c r="BD111" s="3">
        <f>+'Indice PondENGHO'!BD109/'Indice PondENGHO'!BD108-1</f>
        <v>1.1438468023903914E-2</v>
      </c>
      <c r="BE111" s="3">
        <f>+'Indice PondENGHO'!BE109/'Indice PondENGHO'!BE108-1</f>
        <v>2.4227550978485723E-2</v>
      </c>
      <c r="BF111" s="3">
        <f>+'Indice PondENGHO'!BF109/'Indice PondENGHO'!BF108-1</f>
        <v>3.026263517556349E-2</v>
      </c>
      <c r="BG111" s="3">
        <f>+'Indice PondENGHO'!BG109/'Indice PondENGHO'!BG108-1</f>
        <v>2.7113477535345654E-2</v>
      </c>
      <c r="BH111" s="3">
        <f>+'Indice PondENGHO'!BH109/'Indice PondENGHO'!BH108-1</f>
        <v>2.5176648660895751E-2</v>
      </c>
      <c r="BI111" s="3">
        <f>+'Indice PondENGHO'!BI109/'Indice PondENGHO'!BI108-1</f>
        <v>2.6557001773095834E-2</v>
      </c>
      <c r="BJ111" s="3">
        <f>+'Indice PondENGHO'!BJ109/'Indice PondENGHO'!BJ108-1</f>
        <v>2.5363743263427052E-2</v>
      </c>
      <c r="BK111" s="11">
        <f>+'Indice PondENGHO'!BK109/'Indice PondENGHO'!BK108-1</f>
        <v>2.5309381047430746E-2</v>
      </c>
      <c r="BL111" s="65">
        <f>+'Indice PondENGHO'!BL109/'Indice PondENGHO'!BL108-1</f>
        <v>2.4974389921325058E-2</v>
      </c>
      <c r="BM111" s="65">
        <f>+'Indice PondENGHO'!BM109/'Indice PondENGHO'!BM108-1</f>
        <v>2.489415958118002E-2</v>
      </c>
      <c r="BN111" s="65">
        <f>+'Indice PondENGHO'!BN109/'Indice PondENGHO'!BN108-1</f>
        <v>2.4852827280616552E-2</v>
      </c>
      <c r="BO111" s="65">
        <f>+'Indice PondENGHO'!BO109/'Indice PondENGHO'!BO108-1</f>
        <v>2.4748870872465689E-2</v>
      </c>
      <c r="BP111" s="65">
        <f>+'Indice PondENGHO'!BP109/'Indice PondENGHO'!BP108-1</f>
        <v>2.4563295754381542E-2</v>
      </c>
      <c r="BQ111" s="10">
        <f>+'Indice PondENGHO'!BQ109/'Indice PondENGHO'!BQ108-1</f>
        <v>2.8337028409452403E-2</v>
      </c>
      <c r="BR111" s="3">
        <f>+'Indice PondENGHO'!BR109/'Indice PondENGHO'!BR108-1</f>
        <v>1.1695734984152883E-2</v>
      </c>
      <c r="BS111" s="3">
        <f>+'Indice PondENGHO'!BS109/'Indice PondENGHO'!BS108-1</f>
        <v>5.3741358273142747E-3</v>
      </c>
      <c r="BT111" s="3">
        <f>+'Indice PondENGHO'!BT109/'Indice PondENGHO'!BT108-1</f>
        <v>3.4833148600408759E-2</v>
      </c>
      <c r="BU111" s="3">
        <f>+'Indice PondENGHO'!BU109/'Indice PondENGHO'!BU108-1</f>
        <v>1.1374420696846688E-2</v>
      </c>
      <c r="BV111" s="3">
        <f>+'Indice PondENGHO'!BV109/'Indice PondENGHO'!BV108-1</f>
        <v>2.4019103402610709E-2</v>
      </c>
      <c r="BW111" s="3">
        <f>+'Indice PondENGHO'!BW109/'Indice PondENGHO'!BW108-1</f>
        <v>3.0585282354424814E-2</v>
      </c>
      <c r="BX111" s="3">
        <f>+'Indice PondENGHO'!BX109/'Indice PondENGHO'!BX108-1</f>
        <v>2.6866881842467105E-2</v>
      </c>
      <c r="BY111" s="3">
        <f>+'Indice PondENGHO'!BY109/'Indice PondENGHO'!BY108-1</f>
        <v>2.4383232808750765E-2</v>
      </c>
      <c r="BZ111" s="3">
        <f>+'Indice PondENGHO'!BZ109/'Indice PondENGHO'!BZ108-1</f>
        <v>2.5027290482422693E-2</v>
      </c>
      <c r="CA111" s="3">
        <f>+'Indice PondENGHO'!CA109/'Indice PondENGHO'!CA108-1</f>
        <v>2.4353644871137226E-2</v>
      </c>
      <c r="CB111" s="11">
        <f>+'Indice PondENGHO'!CB109/'Indice PondENGHO'!CB108-1</f>
        <v>2.5126665875221166E-2</v>
      </c>
      <c r="CC111" s="55">
        <f>+'Indice PondENGHO'!CC109/'Indice PondENGHO'!CC108-1</f>
        <v>2.475714803941198E-2</v>
      </c>
      <c r="CD111" s="56">
        <f>+'Indice PondENGHO'!CD109/'Indice PondENGHO'!CD108-1</f>
        <v>2.475714803941198E-2</v>
      </c>
      <c r="CF111" s="3">
        <f t="shared" ref="CF111" si="29">+BL111-BP111</f>
        <v>4.110941669435153E-4</v>
      </c>
    </row>
    <row r="112" spans="1:84" x14ac:dyDescent="0.25">
      <c r="A112" s="2">
        <f>+'Indice PondENGHO'!A110</f>
        <v>45992</v>
      </c>
      <c r="B112" s="1" t="str">
        <f>+'Indice PondENGHO'!B110</f>
        <v>Diciembre</v>
      </c>
      <c r="C112" s="1">
        <f>+'Indice PondENGHO'!C110</f>
        <v>2025</v>
      </c>
      <c r="D112" s="10">
        <f>+'Indice PondENGHO'!D110/'Indice PondENGHO'!D109-1</f>
        <v>3.3633419611922344E-2</v>
      </c>
      <c r="E112" s="3">
        <f>+'Indice PondENGHO'!E110/'Indice PondENGHO'!E109-1</f>
        <v>2.7530580149955686E-2</v>
      </c>
      <c r="F112" s="3">
        <f>+'Indice PondENGHO'!F110/'Indice PondENGHO'!F109-1</f>
        <v>1.0225319788166765E-2</v>
      </c>
      <c r="G112" s="3">
        <f>+'Indice PondENGHO'!G110/'Indice PondENGHO'!G109-1</f>
        <v>3.2946685081129967E-2</v>
      </c>
      <c r="H112" s="3">
        <f>+'Indice PondENGHO'!H110/'Indice PondENGHO'!H109-1</f>
        <v>1.9194091421193438E-2</v>
      </c>
      <c r="I112" s="3">
        <f>+'Indice PondENGHO'!I110/'Indice PondENGHO'!I109-1</f>
        <v>2.0115915666870876E-2</v>
      </c>
      <c r="J112" s="3">
        <f>+'Indice PondENGHO'!J110/'Indice PondENGHO'!J109-1</f>
        <v>4.0195810066489202E-2</v>
      </c>
      <c r="K112" s="3">
        <f>+'Indice PondENGHO'!K110/'Indice PondENGHO'!K109-1</f>
        <v>3.1865813912260954E-2</v>
      </c>
      <c r="L112" s="3">
        <f>+'Indice PondENGHO'!L110/'Indice PondENGHO'!L109-1</f>
        <v>2.4500416911233946E-2</v>
      </c>
      <c r="M112" s="3">
        <f>+'Indice PondENGHO'!M110/'Indice PondENGHO'!M109-1</f>
        <v>2.595170299821703E-3</v>
      </c>
      <c r="N112" s="3">
        <f>+'Indice PondENGHO'!N110/'Indice PondENGHO'!N109-1</f>
        <v>3.0903096002007802E-2</v>
      </c>
      <c r="O112" s="11">
        <f>+'Indice PondENGHO'!O110/'Indice PondENGHO'!O109-1</f>
        <v>2.5225542266056333E-2</v>
      </c>
      <c r="P112" s="3">
        <f>+'Indice PondENGHO'!P110/'Indice PondENGHO'!P109-1</f>
        <v>3.2404344607663838E-2</v>
      </c>
      <c r="Q112" s="3">
        <f>+'Indice PondENGHO'!Q110/'Indice PondENGHO'!Q109-1</f>
        <v>2.8156760332399777E-2</v>
      </c>
      <c r="R112" s="3">
        <f>+'Indice PondENGHO'!R110/'Indice PondENGHO'!R109-1</f>
        <v>1.0545581319811204E-2</v>
      </c>
      <c r="S112" s="3">
        <f>+'Indice PondENGHO'!S110/'Indice PondENGHO'!S109-1</f>
        <v>3.3313608908519088E-2</v>
      </c>
      <c r="T112" s="3">
        <f>+'Indice PondENGHO'!T110/'Indice PondENGHO'!T109-1</f>
        <v>1.9785385886516238E-2</v>
      </c>
      <c r="U112" s="3">
        <f>+'Indice PondENGHO'!U110/'Indice PondENGHO'!U109-1</f>
        <v>2.050817179862463E-2</v>
      </c>
      <c r="V112" s="3">
        <f>+'Indice PondENGHO'!V110/'Indice PondENGHO'!V109-1</f>
        <v>4.0176620064034774E-2</v>
      </c>
      <c r="W112" s="3">
        <f>+'Indice PondENGHO'!W110/'Indice PondENGHO'!W109-1</f>
        <v>3.254615673672534E-2</v>
      </c>
      <c r="X112" s="3">
        <f>+'Indice PondENGHO'!X110/'Indice PondENGHO'!X109-1</f>
        <v>2.4887310827083065E-2</v>
      </c>
      <c r="Y112" s="3">
        <f>+'Indice PondENGHO'!Y110/'Indice PondENGHO'!Y109-1</f>
        <v>1.9241350984391392E-3</v>
      </c>
      <c r="Z112" s="3">
        <f>+'Indice PondENGHO'!Z110/'Indice PondENGHO'!Z109-1</f>
        <v>3.1546302645096835E-2</v>
      </c>
      <c r="AA112" s="3">
        <f>+'Indice PondENGHO'!AA110/'Indice PondENGHO'!AA109-1</f>
        <v>2.6027172824132361E-2</v>
      </c>
      <c r="AB112" s="10">
        <f>+'Indice PondENGHO'!AB110/'Indice PondENGHO'!AB109-1</f>
        <v>3.1738272134456125E-2</v>
      </c>
      <c r="AC112" s="3">
        <f>+'Indice PondENGHO'!AC110/'Indice PondENGHO'!AC109-1</f>
        <v>2.7853542196537351E-2</v>
      </c>
      <c r="AD112" s="3">
        <f>+'Indice PondENGHO'!AD110/'Indice PondENGHO'!AD109-1</f>
        <v>1.0592287378331955E-2</v>
      </c>
      <c r="AE112" s="3">
        <f>+'Indice PondENGHO'!AE110/'Indice PondENGHO'!AE109-1</f>
        <v>3.3674384272477154E-2</v>
      </c>
      <c r="AF112" s="3">
        <f>+'Indice PondENGHO'!AF110/'Indice PondENGHO'!AF109-1</f>
        <v>1.982047987654445E-2</v>
      </c>
      <c r="AG112" s="3">
        <f>+'Indice PondENGHO'!AG110/'Indice PondENGHO'!AG109-1</f>
        <v>2.0465222362813451E-2</v>
      </c>
      <c r="AH112" s="3">
        <f>+'Indice PondENGHO'!AH110/'Indice PondENGHO'!AH109-1</f>
        <v>3.9870392272120858E-2</v>
      </c>
      <c r="AI112" s="3">
        <f>+'Indice PondENGHO'!AI110/'Indice PondENGHO'!AI109-1</f>
        <v>3.292196860744534E-2</v>
      </c>
      <c r="AJ112" s="3">
        <f>+'Indice PondENGHO'!AJ110/'Indice PondENGHO'!AJ109-1</f>
        <v>2.5135311471313981E-2</v>
      </c>
      <c r="AK112" s="3">
        <f>+'Indice PondENGHO'!AK110/'Indice PondENGHO'!AK109-1</f>
        <v>2.1263972456024849E-3</v>
      </c>
      <c r="AL112" s="3">
        <f>+'Indice PondENGHO'!AL110/'Indice PondENGHO'!AL109-1</f>
        <v>3.1602763729238204E-2</v>
      </c>
      <c r="AM112" s="11">
        <f>+'Indice PondENGHO'!AM110/'Indice PondENGHO'!AM109-1</f>
        <v>2.6227890959690026E-2</v>
      </c>
      <c r="AN112" s="3">
        <f>+'Indice PondENGHO'!AN110/'Indice PondENGHO'!AN109-1</f>
        <v>3.1269164619786016E-2</v>
      </c>
      <c r="AO112" s="3">
        <f>+'Indice PondENGHO'!AO110/'Indice PondENGHO'!AO109-1</f>
        <v>2.7921542525442877E-2</v>
      </c>
      <c r="AP112" s="3">
        <f>+'Indice PondENGHO'!AP110/'Indice PondENGHO'!AP109-1</f>
        <v>1.0740004295171746E-2</v>
      </c>
      <c r="AQ112" s="3">
        <f>+'Indice PondENGHO'!AQ110/'Indice PondENGHO'!AQ109-1</f>
        <v>3.3840415657817369E-2</v>
      </c>
      <c r="AR112" s="3">
        <f>+'Indice PondENGHO'!AR110/'Indice PondENGHO'!AR109-1</f>
        <v>1.9768516057897756E-2</v>
      </c>
      <c r="AS112" s="3">
        <f>+'Indice PondENGHO'!AS110/'Indice PondENGHO'!AS109-1</f>
        <v>2.1164998575702532E-2</v>
      </c>
      <c r="AT112" s="3">
        <f>+'Indice PondENGHO'!AT110/'Indice PondENGHO'!AT109-1</f>
        <v>4.0096535692255353E-2</v>
      </c>
      <c r="AU112" s="3">
        <f>+'Indice PondENGHO'!AU110/'Indice PondENGHO'!AU109-1</f>
        <v>3.2982371741908656E-2</v>
      </c>
      <c r="AV112" s="3">
        <f>+'Indice PondENGHO'!AV110/'Indice PondENGHO'!AV109-1</f>
        <v>2.5459391002698117E-2</v>
      </c>
      <c r="AW112" s="3">
        <f>+'Indice PondENGHO'!AW110/'Indice PondENGHO'!AW109-1</f>
        <v>2.4040624658732135E-3</v>
      </c>
      <c r="AX112" s="3">
        <f>+'Indice PondENGHO'!AX110/'Indice PondENGHO'!AX109-1</f>
        <v>3.14129474496605E-2</v>
      </c>
      <c r="AY112" s="3">
        <f>+'Indice PondENGHO'!AY110/'Indice PondENGHO'!AY109-1</f>
        <v>2.673135159107054E-2</v>
      </c>
      <c r="AZ112" s="10">
        <f>+'Indice PondENGHO'!AZ110/'Indice PondENGHO'!AZ109-1</f>
        <v>3.0302036067024307E-2</v>
      </c>
      <c r="BA112" s="3">
        <f>+'Indice PondENGHO'!BA110/'Indice PondENGHO'!BA109-1</f>
        <v>2.8313485935932414E-2</v>
      </c>
      <c r="BB112" s="3">
        <f>+'Indice PondENGHO'!BB110/'Indice PondENGHO'!BB109-1</f>
        <v>1.087292660688699E-2</v>
      </c>
      <c r="BC112" s="3">
        <f>+'Indice PondENGHO'!BC110/'Indice PondENGHO'!BC109-1</f>
        <v>3.4431501046053858E-2</v>
      </c>
      <c r="BD112" s="3">
        <f>+'Indice PondENGHO'!BD110/'Indice PondENGHO'!BD109-1</f>
        <v>2.0084679507403891E-2</v>
      </c>
      <c r="BE112" s="3">
        <f>+'Indice PondENGHO'!BE110/'Indice PondENGHO'!BE109-1</f>
        <v>2.1764372085510741E-2</v>
      </c>
      <c r="BF112" s="3">
        <f>+'Indice PondENGHO'!BF110/'Indice PondENGHO'!BF109-1</f>
        <v>4.0358213333123727E-2</v>
      </c>
      <c r="BG112" s="3">
        <f>+'Indice PondENGHO'!BG110/'Indice PondENGHO'!BG109-1</f>
        <v>3.3508257477498971E-2</v>
      </c>
      <c r="BH112" s="3">
        <f>+'Indice PondENGHO'!BH110/'Indice PondENGHO'!BH109-1</f>
        <v>2.5691119192510881E-2</v>
      </c>
      <c r="BI112" s="3">
        <f>+'Indice PondENGHO'!BI110/'Indice PondENGHO'!BI109-1</f>
        <v>5.8032276247055314E-4</v>
      </c>
      <c r="BJ112" s="3">
        <f>+'Indice PondENGHO'!BJ110/'Indice PondENGHO'!BJ109-1</f>
        <v>3.0705348483265116E-2</v>
      </c>
      <c r="BK112" s="11">
        <f>+'Indice PondENGHO'!BK110/'Indice PondENGHO'!BK109-1</f>
        <v>2.8055693398562287E-2</v>
      </c>
      <c r="BL112" s="65">
        <f>+'Indice PondENGHO'!BL110/'Indice PondENGHO'!BL109-1</f>
        <v>2.9231360334402323E-2</v>
      </c>
      <c r="BM112" s="65">
        <f>+'Indice PondENGHO'!BM110/'Indice PondENGHO'!BM109-1</f>
        <v>2.8808734356978949E-2</v>
      </c>
      <c r="BN112" s="65">
        <f>+'Indice PondENGHO'!BN110/'Indice PondENGHO'!BN109-1</f>
        <v>2.8292014605382887E-2</v>
      </c>
      <c r="BO112" s="65">
        <f>+'Indice PondENGHO'!BO110/'Indice PondENGHO'!BO109-1</f>
        <v>2.8313516715476661E-2</v>
      </c>
      <c r="BP112" s="65">
        <f>+'Indice PondENGHO'!BP110/'Indice PondENGHO'!BP109-1</f>
        <v>2.7861004716862148E-2</v>
      </c>
      <c r="BQ112" s="10">
        <f>+'Indice PondENGHO'!BQ110/'Indice PondENGHO'!BQ109-1</f>
        <v>3.1777079838131161E-2</v>
      </c>
      <c r="BR112" s="3">
        <f>+'Indice PondENGHO'!BR110/'Indice PondENGHO'!BR109-1</f>
        <v>2.8021745731335201E-2</v>
      </c>
      <c r="BS112" s="3">
        <f>+'Indice PondENGHO'!BS110/'Indice PondENGHO'!BS109-1</f>
        <v>1.0648802921254363E-2</v>
      </c>
      <c r="BT112" s="3">
        <f>+'Indice PondENGHO'!BT110/'Indice PondENGHO'!BT109-1</f>
        <v>3.3811458488950397E-2</v>
      </c>
      <c r="BU112" s="3">
        <f>+'Indice PondENGHO'!BU110/'Indice PondENGHO'!BU109-1</f>
        <v>1.9859560284181343E-2</v>
      </c>
      <c r="BV112" s="3">
        <f>+'Indice PondENGHO'!BV110/'Indice PondENGHO'!BV109-1</f>
        <v>2.1130151246925077E-2</v>
      </c>
      <c r="BW112" s="3">
        <f>+'Indice PondENGHO'!BW110/'Indice PondENGHO'!BW109-1</f>
        <v>4.0173136712668311E-2</v>
      </c>
      <c r="BX112" s="3">
        <f>+'Indice PondENGHO'!BX110/'Indice PondENGHO'!BX109-1</f>
        <v>3.2920594060595443E-2</v>
      </c>
      <c r="BY112" s="3">
        <f>+'Indice PondENGHO'!BY110/'Indice PondENGHO'!BY109-1</f>
        <v>2.5312732168930596E-2</v>
      </c>
      <c r="BZ112" s="3">
        <f>+'Indice PondENGHO'!BZ110/'Indice PondENGHO'!BZ109-1</f>
        <v>1.5766451841110474E-3</v>
      </c>
      <c r="CA112" s="3">
        <f>+'Indice PondENGHO'!CA110/'Indice PondENGHO'!CA109-1</f>
        <v>3.1131992085111637E-2</v>
      </c>
      <c r="CB112" s="11">
        <f>+'Indice PondENGHO'!CB110/'Indice PondENGHO'!CB109-1</f>
        <v>2.6894248988662772E-2</v>
      </c>
      <c r="CC112" s="55">
        <f>+'Indice PondENGHO'!CC110/'Indice PondENGHO'!CC109-1</f>
        <v>2.8351595330199597E-2</v>
      </c>
      <c r="CD112" s="56">
        <f>+'Indice PondENGHO'!CD110/'Indice PondENGHO'!CD109-1</f>
        <v>2.8351595330199597E-2</v>
      </c>
      <c r="CF112" s="3">
        <f t="shared" ref="CF112" si="30">+BL112-BP112</f>
        <v>1.3703556175401754E-3</v>
      </c>
    </row>
    <row r="113" spans="1:84" x14ac:dyDescent="0.25">
      <c r="A113" s="2">
        <f>+'Indice PondENGHO'!A111</f>
        <v>46023</v>
      </c>
      <c r="B113" s="1" t="str">
        <f>+'Indice PondENGHO'!B111</f>
        <v>Enero</v>
      </c>
      <c r="C113" s="1">
        <f>+'Indice PondENGHO'!C111</f>
        <v>2026</v>
      </c>
      <c r="D113" s="10">
        <f>+'Indice PondENGHO'!D111/'Indice PondENGHO'!D110-1</f>
        <v>4.5814359597343257E-2</v>
      </c>
      <c r="E113" s="3">
        <f>+'Indice PondENGHO'!E111/'Indice PondENGHO'!E110-1</f>
        <v>1.5458429038252008E-2</v>
      </c>
      <c r="F113" s="3">
        <f>+'Indice PondENGHO'!F111/'Indice PondENGHO'!F110-1</f>
        <v>-1.281162793000945E-3</v>
      </c>
      <c r="G113" s="3">
        <f>+'Indice PondENGHO'!G111/'Indice PondENGHO'!G110-1</f>
        <v>3.5974206214131277E-2</v>
      </c>
      <c r="H113" s="3">
        <f>+'Indice PondENGHO'!H111/'Indice PondENGHO'!H110-1</f>
        <v>1.8599647411427167E-2</v>
      </c>
      <c r="I113" s="3">
        <f>+'Indice PondENGHO'!I111/'Indice PondENGHO'!I110-1</f>
        <v>2.3620940174829519E-2</v>
      </c>
      <c r="J113" s="3">
        <f>+'Indice PondENGHO'!J111/'Indice PondENGHO'!J110-1</f>
        <v>2.0541937524690468E-2</v>
      </c>
      <c r="K113" s="3">
        <f>+'Indice PondENGHO'!K111/'Indice PondENGHO'!K110-1</f>
        <v>3.5598890264375793E-2</v>
      </c>
      <c r="L113" s="3">
        <f>+'Indice PondENGHO'!L111/'Indice PondENGHO'!L110-1</f>
        <v>1.1912450477196801E-2</v>
      </c>
      <c r="M113" s="3">
        <f>+'Indice PondENGHO'!M111/'Indice PondENGHO'!M110-1</f>
        <v>6.4961493928765712E-3</v>
      </c>
      <c r="N113" s="3">
        <f>+'Indice PondENGHO'!N111/'Indice PondENGHO'!N110-1</f>
        <v>3.9725289278630393E-2</v>
      </c>
      <c r="O113" s="11">
        <f>+'Indice PondENGHO'!O111/'Indice PondENGHO'!O110-1</f>
        <v>2.6770637181753321E-2</v>
      </c>
      <c r="P113" s="3">
        <f>+'Indice PondENGHO'!P111/'Indice PondENGHO'!P110-1</f>
        <v>4.605820925466575E-2</v>
      </c>
      <c r="Q113" s="3">
        <f>+'Indice PondENGHO'!Q111/'Indice PondENGHO'!Q110-1</f>
        <v>1.5065775007094606E-2</v>
      </c>
      <c r="R113" s="3">
        <f>+'Indice PondENGHO'!R111/'Indice PondENGHO'!R110-1</f>
        <v>-2.5039370118331572E-3</v>
      </c>
      <c r="S113" s="3">
        <f>+'Indice PondENGHO'!S111/'Indice PondENGHO'!S110-1</f>
        <v>3.1892124624395723E-2</v>
      </c>
      <c r="T113" s="3">
        <f>+'Indice PondENGHO'!T111/'Indice PondENGHO'!T110-1</f>
        <v>1.8337881803685008E-2</v>
      </c>
      <c r="U113" s="3">
        <f>+'Indice PondENGHO'!U111/'Indice PondENGHO'!U110-1</f>
        <v>2.3489293976360681E-2</v>
      </c>
      <c r="V113" s="3">
        <f>+'Indice PondENGHO'!V111/'Indice PondENGHO'!V110-1</f>
        <v>2.0408403436808387E-2</v>
      </c>
      <c r="W113" s="3">
        <f>+'Indice PondENGHO'!W111/'Indice PondENGHO'!W110-1</f>
        <v>3.5995762183510971E-2</v>
      </c>
      <c r="X113" s="3">
        <f>+'Indice PondENGHO'!X111/'Indice PondENGHO'!X110-1</f>
        <v>1.0975262965302823E-2</v>
      </c>
      <c r="Y113" s="3">
        <f>+'Indice PondENGHO'!Y111/'Indice PondENGHO'!Y110-1</f>
        <v>6.5869609397404272E-3</v>
      </c>
      <c r="Z113" s="3">
        <f>+'Indice PondENGHO'!Z111/'Indice PondENGHO'!Z110-1</f>
        <v>4.0656158133866915E-2</v>
      </c>
      <c r="AA113" s="3">
        <f>+'Indice PondENGHO'!AA111/'Indice PondENGHO'!AA110-1</f>
        <v>2.7262465898187704E-2</v>
      </c>
      <c r="AB113" s="10">
        <f>+'Indice PondENGHO'!AB111/'Indice PondENGHO'!AB110-1</f>
        <v>4.6306352080777602E-2</v>
      </c>
      <c r="AC113" s="3">
        <f>+'Indice PondENGHO'!AC111/'Indice PondENGHO'!AC110-1</f>
        <v>1.5460010327839502E-2</v>
      </c>
      <c r="AD113" s="3">
        <f>+'Indice PondENGHO'!AD111/'Indice PondENGHO'!AD110-1</f>
        <v>-2.8171513026087336E-3</v>
      </c>
      <c r="AE113" s="3">
        <f>+'Indice PondENGHO'!AE111/'Indice PondENGHO'!AE110-1</f>
        <v>3.0105756442377007E-2</v>
      </c>
      <c r="AF113" s="3">
        <f>+'Indice PondENGHO'!AF111/'Indice PondENGHO'!AF110-1</f>
        <v>1.8616769900995145E-2</v>
      </c>
      <c r="AG113" s="3">
        <f>+'Indice PondENGHO'!AG111/'Indice PondENGHO'!AG110-1</f>
        <v>2.3702806014835209E-2</v>
      </c>
      <c r="AH113" s="3">
        <f>+'Indice PondENGHO'!AH111/'Indice PondENGHO'!AH110-1</f>
        <v>2.00870816877734E-2</v>
      </c>
      <c r="AI113" s="3">
        <f>+'Indice PondENGHO'!AI111/'Indice PondENGHO'!AI110-1</f>
        <v>3.61957212195676E-2</v>
      </c>
      <c r="AJ113" s="3">
        <f>+'Indice PondENGHO'!AJ111/'Indice PondENGHO'!AJ110-1</f>
        <v>1.0306193027830979E-2</v>
      </c>
      <c r="AK113" s="3">
        <f>+'Indice PondENGHO'!AK111/'Indice PondENGHO'!AK110-1</f>
        <v>6.5852732238631528E-3</v>
      </c>
      <c r="AL113" s="3">
        <f>+'Indice PondENGHO'!AL111/'Indice PondENGHO'!AL110-1</f>
        <v>4.1359822565078197E-2</v>
      </c>
      <c r="AM113" s="11">
        <f>+'Indice PondENGHO'!AM111/'Indice PondENGHO'!AM110-1</f>
        <v>2.7552369677855237E-2</v>
      </c>
      <c r="AN113" s="3">
        <f>+'Indice PondENGHO'!AN111/'Indice PondENGHO'!AN110-1</f>
        <v>4.6407834057006436E-2</v>
      </c>
      <c r="AO113" s="3">
        <f>+'Indice PondENGHO'!AO111/'Indice PondENGHO'!AO110-1</f>
        <v>1.5518912413880592E-2</v>
      </c>
      <c r="AP113" s="3">
        <f>+'Indice PondENGHO'!AP111/'Indice PondENGHO'!AP110-1</f>
        <v>-3.4821654325587481E-3</v>
      </c>
      <c r="AQ113" s="3">
        <f>+'Indice PondENGHO'!AQ111/'Indice PondENGHO'!AQ110-1</f>
        <v>2.9968364072860076E-2</v>
      </c>
      <c r="AR113" s="3">
        <f>+'Indice PondENGHO'!AR111/'Indice PondENGHO'!AR110-1</f>
        <v>1.8618303231187294E-2</v>
      </c>
      <c r="AS113" s="3">
        <f>+'Indice PondENGHO'!AS111/'Indice PondENGHO'!AS110-1</f>
        <v>2.3329535312479832E-2</v>
      </c>
      <c r="AT113" s="3">
        <f>+'Indice PondENGHO'!AT111/'Indice PondENGHO'!AT110-1</f>
        <v>1.9443725147169522E-2</v>
      </c>
      <c r="AU113" s="3">
        <f>+'Indice PondENGHO'!AU111/'Indice PondENGHO'!AU110-1</f>
        <v>3.6325447995107174E-2</v>
      </c>
      <c r="AV113" s="3">
        <f>+'Indice PondENGHO'!AV111/'Indice PondENGHO'!AV110-1</f>
        <v>1.0349255838149052E-2</v>
      </c>
      <c r="AW113" s="3">
        <f>+'Indice PondENGHO'!AW111/'Indice PondENGHO'!AW110-1</f>
        <v>6.3299827192768721E-3</v>
      </c>
      <c r="AX113" s="3">
        <f>+'Indice PondENGHO'!AX111/'Indice PondENGHO'!AX110-1</f>
        <v>4.1739243594648201E-2</v>
      </c>
      <c r="AY113" s="3">
        <f>+'Indice PondENGHO'!AY111/'Indice PondENGHO'!AY110-1</f>
        <v>2.7759382224771256E-2</v>
      </c>
      <c r="AZ113" s="10">
        <f>+'Indice PondENGHO'!AZ111/'Indice PondENGHO'!AZ110-1</f>
        <v>4.684346562786601E-2</v>
      </c>
      <c r="BA113" s="3">
        <f>+'Indice PondENGHO'!BA111/'Indice PondENGHO'!BA110-1</f>
        <v>1.5281173237063017E-2</v>
      </c>
      <c r="BB113" s="3">
        <f>+'Indice PondENGHO'!BB111/'Indice PondENGHO'!BB110-1</f>
        <v>-4.2709220188378305E-3</v>
      </c>
      <c r="BC113" s="3">
        <f>+'Indice PondENGHO'!BC111/'Indice PondENGHO'!BC110-1</f>
        <v>2.8315246338401989E-2</v>
      </c>
      <c r="BD113" s="3">
        <f>+'Indice PondENGHO'!BD111/'Indice PondENGHO'!BD110-1</f>
        <v>1.800970144356917E-2</v>
      </c>
      <c r="BE113" s="3">
        <f>+'Indice PondENGHO'!BE111/'Indice PondENGHO'!BE110-1</f>
        <v>2.3083341228518739E-2</v>
      </c>
      <c r="BF113" s="3">
        <f>+'Indice PondENGHO'!BF111/'Indice PondENGHO'!BF110-1</f>
        <v>1.8573569665661704E-2</v>
      </c>
      <c r="BG113" s="3">
        <f>+'Indice PondENGHO'!BG111/'Indice PondENGHO'!BG110-1</f>
        <v>3.6694945606158269E-2</v>
      </c>
      <c r="BH113" s="3">
        <f>+'Indice PondENGHO'!BH111/'Indice PondENGHO'!BH110-1</f>
        <v>1.0004746555220434E-2</v>
      </c>
      <c r="BI113" s="3">
        <f>+'Indice PondENGHO'!BI111/'Indice PondENGHO'!BI110-1</f>
        <v>6.2958186921879822E-3</v>
      </c>
      <c r="BJ113" s="3">
        <f>+'Indice PondENGHO'!BJ111/'Indice PondENGHO'!BJ110-1</f>
        <v>4.2835803273242323E-2</v>
      </c>
      <c r="BK113" s="11">
        <f>+'Indice PondENGHO'!BK111/'Indice PondENGHO'!BK110-1</f>
        <v>2.7844043657405226E-2</v>
      </c>
      <c r="BL113" s="65">
        <f>+'Indice PondENGHO'!BL111/'Indice PondENGHO'!BL110-1</f>
        <v>3.2018697348702219E-2</v>
      </c>
      <c r="BM113" s="65">
        <f>+'Indice PondENGHO'!BM111/'Indice PondENGHO'!BM110-1</f>
        <v>3.0184803261636306E-2</v>
      </c>
      <c r="BN113" s="65">
        <f>+'Indice PondENGHO'!BN111/'Indice PondENGHO'!BN110-1</f>
        <v>2.9644033619464327E-2</v>
      </c>
      <c r="BO113" s="65">
        <f>+'Indice PondENGHO'!BO111/'Indice PondENGHO'!BO110-1</f>
        <v>2.8496842715682646E-2</v>
      </c>
      <c r="BP113" s="65">
        <f>+'Indice PondENGHO'!BP111/'Indice PondENGHO'!BP110-1</f>
        <v>2.7163190275482085E-2</v>
      </c>
      <c r="BQ113" s="10">
        <f>+'Indice PondENGHO'!BQ111/'Indice PondENGHO'!BQ110-1</f>
        <v>4.6315001019338276E-2</v>
      </c>
      <c r="BR113" s="3">
        <f>+'Indice PondENGHO'!BR111/'Indice PondENGHO'!BR110-1</f>
        <v>1.5343344139938653E-2</v>
      </c>
      <c r="BS113" s="3">
        <f>+'Indice PondENGHO'!BS111/'Indice PondENGHO'!BS110-1</f>
        <v>-3.1254628879137103E-3</v>
      </c>
      <c r="BT113" s="3">
        <f>+'Indice PondENGHO'!BT111/'Indice PondENGHO'!BT110-1</f>
        <v>3.0485064062050649E-2</v>
      </c>
      <c r="BU113" s="3">
        <f>+'Indice PondENGHO'!BU111/'Indice PondENGHO'!BU110-1</f>
        <v>1.8327281977752685E-2</v>
      </c>
      <c r="BV113" s="3">
        <f>+'Indice PondENGHO'!BV111/'Indice PondENGHO'!BV110-1</f>
        <v>2.3334714518233435E-2</v>
      </c>
      <c r="BW113" s="3">
        <f>+'Indice PondENGHO'!BW111/'Indice PondENGHO'!BW110-1</f>
        <v>1.9471315984409321E-2</v>
      </c>
      <c r="BX113" s="3">
        <f>+'Indice PondENGHO'!BX111/'Indice PondENGHO'!BX110-1</f>
        <v>3.6267876371258501E-2</v>
      </c>
      <c r="BY113" s="3">
        <f>+'Indice PondENGHO'!BY111/'Indice PondENGHO'!BY110-1</f>
        <v>1.0464687506746895E-2</v>
      </c>
      <c r="BZ113" s="3">
        <f>+'Indice PondENGHO'!BZ111/'Indice PondENGHO'!BZ110-1</f>
        <v>6.4043596285743298E-3</v>
      </c>
      <c r="CA113" s="3">
        <f>+'Indice PondENGHO'!CA111/'Indice PondENGHO'!CA110-1</f>
        <v>4.182865474578068E-2</v>
      </c>
      <c r="CB113" s="11">
        <f>+'Indice PondENGHO'!CB111/'Indice PondENGHO'!CB110-1</f>
        <v>2.7590596027417202E-2</v>
      </c>
      <c r="CC113" s="55">
        <f>+'Indice PondENGHO'!CC111/'Indice PondENGHO'!CC110-1</f>
        <v>2.8958445894649465E-2</v>
      </c>
      <c r="CD113" s="56">
        <f>+'Indice PondENGHO'!CD111/'Indice PondENGHO'!CD110-1</f>
        <v>2.8958445894649465E-2</v>
      </c>
      <c r="CF113" s="3">
        <f t="shared" ref="CF113" si="31">+BL113-BP113</f>
        <v>4.8555070732201333E-3</v>
      </c>
    </row>
    <row r="114" spans="1:84" x14ac:dyDescent="0.25">
      <c r="A114" s="2">
        <f>+'Indice PondENGHO'!A112</f>
        <v>46054</v>
      </c>
      <c r="B114" s="1" t="str">
        <f>+'Indice PondENGHO'!B112</f>
        <v>Febrero</v>
      </c>
      <c r="C114" s="1">
        <f>+'Indice PondENGHO'!C112</f>
        <v>2026</v>
      </c>
      <c r="D114" s="10">
        <f>+'Indice PondENGHO'!D112/'Indice PondENGHO'!D111-1</f>
        <v>3.5769254194856437E-2</v>
      </c>
      <c r="E114" s="3">
        <f>+'Indice PondENGHO'!E112/'Indice PondENGHO'!E111-1</f>
        <v>7.4352261005670162E-3</v>
      </c>
      <c r="F114" s="3">
        <f>+'Indice PondENGHO'!F112/'Indice PondENGHO'!F111-1</f>
        <v>1.078434513565929E-3</v>
      </c>
      <c r="G114" s="3">
        <f>+'Indice PondENGHO'!G112/'Indice PondENGHO'!G111-1</f>
        <v>6.8501212586286719E-2</v>
      </c>
      <c r="H114" s="3">
        <f>+'Indice PondENGHO'!H112/'Indice PondENGHO'!H111-1</f>
        <v>2.5193320834669075E-2</v>
      </c>
      <c r="I114" s="3">
        <f>+'Indice PondENGHO'!I112/'Indice PondENGHO'!I111-1</f>
        <v>2.4621902205556268E-2</v>
      </c>
      <c r="J114" s="3">
        <f>+'Indice PondENGHO'!J112/'Indice PondENGHO'!J111-1</f>
        <v>2.134706922525087E-2</v>
      </c>
      <c r="K114" s="3">
        <f>+'Indice PondENGHO'!K112/'Indice PondENGHO'!K111-1</f>
        <v>1.7988030847825076E-2</v>
      </c>
      <c r="L114" s="3">
        <f>+'Indice PondENGHO'!L112/'Indice PondENGHO'!L111-1</f>
        <v>2.3895614772453611E-2</v>
      </c>
      <c r="M114" s="3">
        <f>+'Indice PondENGHO'!M112/'Indice PondENGHO'!M111-1</f>
        <v>1.2049217848991711E-2</v>
      </c>
      <c r="N114" s="3">
        <f>+'Indice PondENGHO'!N112/'Indice PondENGHO'!N111-1</f>
        <v>3.0668891983518076E-2</v>
      </c>
      <c r="O114" s="11">
        <f>+'Indice PondENGHO'!O112/'Indice PondENGHO'!O111-1</f>
        <v>3.1480918691528359E-2</v>
      </c>
      <c r="P114" s="3">
        <f>+'Indice PondENGHO'!P112/'Indice PondENGHO'!P111-1</f>
        <v>3.4654124495139937E-2</v>
      </c>
      <c r="Q114" s="3">
        <f>+'Indice PondENGHO'!Q112/'Indice PondENGHO'!Q111-1</f>
        <v>6.4448420069933565E-3</v>
      </c>
      <c r="R114" s="3">
        <f>+'Indice PondENGHO'!R112/'Indice PondENGHO'!R111-1</f>
        <v>6.0476204428216995E-4</v>
      </c>
      <c r="S114" s="3">
        <f>+'Indice PondENGHO'!S112/'Indice PondENGHO'!S111-1</f>
        <v>6.9337581423482009E-2</v>
      </c>
      <c r="T114" s="3">
        <f>+'Indice PondENGHO'!T112/'Indice PondENGHO'!T111-1</f>
        <v>2.5516568758647384E-2</v>
      </c>
      <c r="U114" s="3">
        <f>+'Indice PondENGHO'!U112/'Indice PondENGHO'!U111-1</f>
        <v>2.4584343407469733E-2</v>
      </c>
      <c r="V114" s="3">
        <f>+'Indice PondENGHO'!V112/'Indice PondENGHO'!V111-1</f>
        <v>2.0328567233589112E-2</v>
      </c>
      <c r="W114" s="3">
        <f>+'Indice PondENGHO'!W112/'Indice PondENGHO'!W111-1</f>
        <v>1.8192565181270215E-2</v>
      </c>
      <c r="X114" s="3">
        <f>+'Indice PondENGHO'!X112/'Indice PondENGHO'!X111-1</f>
        <v>2.4135772228720098E-2</v>
      </c>
      <c r="Y114" s="3">
        <f>+'Indice PondENGHO'!Y112/'Indice PondENGHO'!Y111-1</f>
        <v>1.2153556309755453E-2</v>
      </c>
      <c r="Z114" s="3">
        <f>+'Indice PondENGHO'!Z112/'Indice PondENGHO'!Z111-1</f>
        <v>3.0488042394508197E-2</v>
      </c>
      <c r="AA114" s="3">
        <f>+'Indice PondENGHO'!AA112/'Indice PondENGHO'!AA111-1</f>
        <v>3.236816573560386E-2</v>
      </c>
      <c r="AB114" s="10">
        <f>+'Indice PondENGHO'!AB112/'Indice PondENGHO'!AB111-1</f>
        <v>3.3776995425725875E-2</v>
      </c>
      <c r="AC114" s="3">
        <f>+'Indice PondENGHO'!AC112/'Indice PondENGHO'!AC111-1</f>
        <v>6.730624656769546E-3</v>
      </c>
      <c r="AD114" s="3">
        <f>+'Indice PondENGHO'!AD112/'Indice PondENGHO'!AD111-1</f>
        <v>3.527780123497859E-4</v>
      </c>
      <c r="AE114" s="3">
        <f>+'Indice PondENGHO'!AE112/'Indice PondENGHO'!AE111-1</f>
        <v>6.8875817492609182E-2</v>
      </c>
      <c r="AF114" s="3">
        <f>+'Indice PondENGHO'!AF112/'Indice PondENGHO'!AF111-1</f>
        <v>2.5116501146129844E-2</v>
      </c>
      <c r="AG114" s="3">
        <f>+'Indice PondENGHO'!AG112/'Indice PondENGHO'!AG111-1</f>
        <v>2.4930304944928094E-2</v>
      </c>
      <c r="AH114" s="3">
        <f>+'Indice PondENGHO'!AH112/'Indice PondENGHO'!AH111-1</f>
        <v>1.9896756218757083E-2</v>
      </c>
      <c r="AI114" s="3">
        <f>+'Indice PondENGHO'!AI112/'Indice PondENGHO'!AI111-1</f>
        <v>1.8322383175799706E-2</v>
      </c>
      <c r="AJ114" s="3">
        <f>+'Indice PondENGHO'!AJ112/'Indice PondENGHO'!AJ111-1</f>
        <v>2.4767469986073154E-2</v>
      </c>
      <c r="AK114" s="3">
        <f>+'Indice PondENGHO'!AK112/'Indice PondENGHO'!AK111-1</f>
        <v>1.2187022965231664E-2</v>
      </c>
      <c r="AL114" s="3">
        <f>+'Indice PondENGHO'!AL112/'Indice PondENGHO'!AL111-1</f>
        <v>3.0362890963673062E-2</v>
      </c>
      <c r="AM114" s="11">
        <f>+'Indice PondENGHO'!AM112/'Indice PondENGHO'!AM111-1</f>
        <v>3.2828675595868217E-2</v>
      </c>
      <c r="AN114" s="3">
        <f>+'Indice PondENGHO'!AN112/'Indice PondENGHO'!AN111-1</f>
        <v>3.3077783826943152E-2</v>
      </c>
      <c r="AO114" s="3">
        <f>+'Indice PondENGHO'!AO112/'Indice PondENGHO'!AO111-1</f>
        <v>6.6996234981635538E-3</v>
      </c>
      <c r="AP114" s="3">
        <f>+'Indice PondENGHO'!AP112/'Indice PondENGHO'!AP111-1</f>
        <v>4.0022265662198464E-4</v>
      </c>
      <c r="AQ114" s="3">
        <f>+'Indice PondENGHO'!AQ112/'Indice PondENGHO'!AQ111-1</f>
        <v>6.892375813528373E-2</v>
      </c>
      <c r="AR114" s="3">
        <f>+'Indice PondENGHO'!AR112/'Indice PondENGHO'!AR111-1</f>
        <v>2.5122164175582329E-2</v>
      </c>
      <c r="AS114" s="3">
        <f>+'Indice PondENGHO'!AS112/'Indice PondENGHO'!AS111-1</f>
        <v>2.4644050918105176E-2</v>
      </c>
      <c r="AT114" s="3">
        <f>+'Indice PondENGHO'!AT112/'Indice PondENGHO'!AT111-1</f>
        <v>1.9102535396820164E-2</v>
      </c>
      <c r="AU114" s="3">
        <f>+'Indice PondENGHO'!AU112/'Indice PondENGHO'!AU111-1</f>
        <v>1.8240540670671823E-2</v>
      </c>
      <c r="AV114" s="3">
        <f>+'Indice PondENGHO'!AV112/'Indice PondENGHO'!AV111-1</f>
        <v>2.3772400091708557E-2</v>
      </c>
      <c r="AW114" s="3">
        <f>+'Indice PondENGHO'!AW112/'Indice PondENGHO'!AW111-1</f>
        <v>1.2783317565426611E-2</v>
      </c>
      <c r="AX114" s="3">
        <f>+'Indice PondENGHO'!AX112/'Indice PondENGHO'!AX111-1</f>
        <v>2.9781591731890433E-2</v>
      </c>
      <c r="AY114" s="3">
        <f>+'Indice PondENGHO'!AY112/'Indice PondENGHO'!AY111-1</f>
        <v>3.2853568368784725E-2</v>
      </c>
      <c r="AZ114" s="10">
        <f>+'Indice PondENGHO'!AZ112/'Indice PondENGHO'!AZ111-1</f>
        <v>3.2008186147318485E-2</v>
      </c>
      <c r="BA114" s="3">
        <f>+'Indice PondENGHO'!BA112/'Indice PondENGHO'!BA111-1</f>
        <v>6.0414130232151475E-3</v>
      </c>
      <c r="BB114" s="3">
        <f>+'Indice PondENGHO'!BB112/'Indice PondENGHO'!BB111-1</f>
        <v>2.6580618065730199E-4</v>
      </c>
      <c r="BC114" s="3">
        <f>+'Indice PondENGHO'!BC112/'Indice PondENGHO'!BC111-1</f>
        <v>6.8136088525001304E-2</v>
      </c>
      <c r="BD114" s="3">
        <f>+'Indice PondENGHO'!BD112/'Indice PondENGHO'!BD111-1</f>
        <v>2.6066578882023572E-2</v>
      </c>
      <c r="BE114" s="3">
        <f>+'Indice PondENGHO'!BE112/'Indice PondENGHO'!BE111-1</f>
        <v>2.4457335755378562E-2</v>
      </c>
      <c r="BF114" s="3">
        <f>+'Indice PondENGHO'!BF112/'Indice PondENGHO'!BF111-1</f>
        <v>1.893144125015378E-2</v>
      </c>
      <c r="BG114" s="3">
        <f>+'Indice PondENGHO'!BG112/'Indice PondENGHO'!BG111-1</f>
        <v>1.8483702370898136E-2</v>
      </c>
      <c r="BH114" s="3">
        <f>+'Indice PondENGHO'!BH112/'Indice PondENGHO'!BH111-1</f>
        <v>2.2676194561912277E-2</v>
      </c>
      <c r="BI114" s="3">
        <f>+'Indice PondENGHO'!BI112/'Indice PondENGHO'!BI111-1</f>
        <v>1.286643249835473E-2</v>
      </c>
      <c r="BJ114" s="3">
        <f>+'Indice PondENGHO'!BJ112/'Indice PondENGHO'!BJ111-1</f>
        <v>2.9276245360439823E-2</v>
      </c>
      <c r="BK114" s="11">
        <f>+'Indice PondENGHO'!BK112/'Indice PondENGHO'!BK111-1</f>
        <v>3.3397426673416053E-2</v>
      </c>
      <c r="BL114" s="65">
        <f>+'Indice PondENGHO'!BL112/'Indice PondENGHO'!BL111-1</f>
        <v>3.1290464977332455E-2</v>
      </c>
      <c r="BM114" s="65">
        <f>+'Indice PondENGHO'!BM112/'Indice PondENGHO'!BM111-1</f>
        <v>3.0192658253989535E-2</v>
      </c>
      <c r="BN114" s="65">
        <f>+'Indice PondENGHO'!BN112/'Indice PondENGHO'!BN111-1</f>
        <v>2.9613529374970637E-2</v>
      </c>
      <c r="BO114" s="65">
        <f>+'Indice PondENGHO'!BO112/'Indice PondENGHO'!BO111-1</f>
        <v>2.8686125696586684E-2</v>
      </c>
      <c r="BP114" s="65">
        <f>+'Indice PondENGHO'!BP112/'Indice PondENGHO'!BP111-1</f>
        <v>2.8173342837580106E-2</v>
      </c>
      <c r="BQ114" s="10">
        <f>+'Indice PondENGHO'!BQ112/'Indice PondENGHO'!BQ111-1</f>
        <v>3.3750022941950508E-2</v>
      </c>
      <c r="BR114" s="3">
        <f>+'Indice PondENGHO'!BR112/'Indice PondENGHO'!BR111-1</f>
        <v>6.5535201150577205E-3</v>
      </c>
      <c r="BS114" s="3">
        <f>+'Indice PondENGHO'!BS112/'Indice PondENGHO'!BS111-1</f>
        <v>4.790148899116442E-4</v>
      </c>
      <c r="BT114" s="3">
        <f>+'Indice PondENGHO'!BT112/'Indice PondENGHO'!BT111-1</f>
        <v>6.8674108316569837E-2</v>
      </c>
      <c r="BU114" s="3">
        <f>+'Indice PondENGHO'!BU112/'Indice PondENGHO'!BU111-1</f>
        <v>2.5570877984007145E-2</v>
      </c>
      <c r="BV114" s="3">
        <f>+'Indice PondENGHO'!BV112/'Indice PondENGHO'!BV111-1</f>
        <v>2.4608714977309543E-2</v>
      </c>
      <c r="BW114" s="3">
        <f>+'Indice PondENGHO'!BW112/'Indice PondENGHO'!BW111-1</f>
        <v>1.9541034364773058E-2</v>
      </c>
      <c r="BX114" s="3">
        <f>+'Indice PondENGHO'!BX112/'Indice PondENGHO'!BX111-1</f>
        <v>1.8289930523670339E-2</v>
      </c>
      <c r="BY114" s="3">
        <f>+'Indice PondENGHO'!BY112/'Indice PondENGHO'!BY111-1</f>
        <v>2.3590676406655575E-2</v>
      </c>
      <c r="BZ114" s="3">
        <f>+'Indice PondENGHO'!BZ112/'Indice PondENGHO'!BZ111-1</f>
        <v>1.2585269286804257E-2</v>
      </c>
      <c r="CA114" s="3">
        <f>+'Indice PondENGHO'!CA112/'Indice PondENGHO'!CA111-1</f>
        <v>2.9827449603252454E-2</v>
      </c>
      <c r="CB114" s="11">
        <f>+'Indice PondENGHO'!CB112/'Indice PondENGHO'!CB111-1</f>
        <v>3.2850428311795854E-2</v>
      </c>
      <c r="CC114" s="55">
        <f>+'Indice PondENGHO'!CC112/'Indice PondENGHO'!CC111-1</f>
        <v>2.9236047629877637E-2</v>
      </c>
      <c r="CD114" s="56">
        <f>+'Indice PondENGHO'!CD112/'Indice PondENGHO'!CD111-1</f>
        <v>2.9235953997821973E-2</v>
      </c>
      <c r="CF114" s="3">
        <f t="shared" ref="CF114" si="32">+BL114-BP114</f>
        <v>3.1171221397523485E-3</v>
      </c>
    </row>
    <row r="115" spans="1:84" x14ac:dyDescent="0.25">
      <c r="A115" s="2">
        <f>+'Indice PondENGHO'!A113</f>
        <v>46082</v>
      </c>
      <c r="B115" s="1" t="str">
        <f>+'Indice PondENGHO'!B113</f>
        <v>Marzo</v>
      </c>
      <c r="C115" s="1">
        <f>+'Indice PondENGHO'!C113</f>
        <v>2026</v>
      </c>
      <c r="D115" s="10">
        <f>+'Indice PondENGHO'!D113/'Indice PondENGHO'!D112-1</f>
        <v>3.6254501597869249E-2</v>
      </c>
      <c r="E115" s="3">
        <f>+'Indice PondENGHO'!E113/'Indice PondENGHO'!E112-1</f>
        <v>2.1500245973383736E-2</v>
      </c>
      <c r="F115" s="3">
        <f>+'Indice PondENGHO'!F113/'Indice PondENGHO'!F112-1</f>
        <v>2.6950297054863848E-2</v>
      </c>
      <c r="G115" s="3">
        <f>+'Indice PondENGHO'!G113/'Indice PondENGHO'!G112-1</f>
        <v>4.2276880638400183E-2</v>
      </c>
      <c r="H115" s="3">
        <f>+'Indice PondENGHO'!H113/'Indice PondENGHO'!H112-1</f>
        <v>1.2492624432121735E-2</v>
      </c>
      <c r="I115" s="3">
        <f>+'Indice PondENGHO'!I113/'Indice PondENGHO'!I112-1</f>
        <v>2.5284959403427232E-2</v>
      </c>
      <c r="J115" s="3">
        <f>+'Indice PondENGHO'!J113/'Indice PondENGHO'!J112-1</f>
        <v>4.0402521667221469E-2</v>
      </c>
      <c r="K115" s="3">
        <f>+'Indice PondENGHO'!K113/'Indice PondENGHO'!K112-1</f>
        <v>2.8998405034570851E-2</v>
      </c>
      <c r="L115" s="3">
        <f>+'Indice PondENGHO'!L113/'Indice PondENGHO'!L112-1</f>
        <v>3.5361193788247203E-2</v>
      </c>
      <c r="M115" s="3">
        <f>+'Indice PondENGHO'!M113/'Indice PondENGHO'!M112-1</f>
        <v>0.13055700553307159</v>
      </c>
      <c r="N115" s="3">
        <f>+'Indice PondENGHO'!N113/'Indice PondENGHO'!N112-1</f>
        <v>3.5445719006502507E-2</v>
      </c>
      <c r="O115" s="11">
        <f>+'Indice PondENGHO'!O113/'Indice PondENGHO'!O112-1</f>
        <v>1.7061201912362156E-2</v>
      </c>
      <c r="P115" s="3">
        <f>+'Indice PondENGHO'!P113/'Indice PondENGHO'!P112-1</f>
        <v>3.501790815772643E-2</v>
      </c>
      <c r="Q115" s="3">
        <f>+'Indice PondENGHO'!Q113/'Indice PondENGHO'!Q112-1</f>
        <v>2.136363940925734E-2</v>
      </c>
      <c r="R115" s="3">
        <f>+'Indice PondENGHO'!R113/'Indice PondENGHO'!R112-1</f>
        <v>2.8413122847844807E-2</v>
      </c>
      <c r="S115" s="3">
        <f>+'Indice PondENGHO'!S113/'Indice PondENGHO'!S112-1</f>
        <v>3.8610584282458893E-2</v>
      </c>
      <c r="T115" s="3">
        <f>+'Indice PondENGHO'!T113/'Indice PondENGHO'!T112-1</f>
        <v>1.2638612178866637E-2</v>
      </c>
      <c r="U115" s="3">
        <f>+'Indice PondENGHO'!U113/'Indice PondENGHO'!U112-1</f>
        <v>2.5815454884609235E-2</v>
      </c>
      <c r="V115" s="3">
        <f>+'Indice PondENGHO'!V113/'Indice PondENGHO'!V112-1</f>
        <v>4.0719711214036503E-2</v>
      </c>
      <c r="W115" s="3">
        <f>+'Indice PondENGHO'!W113/'Indice PondENGHO'!W112-1</f>
        <v>2.9088197035472163E-2</v>
      </c>
      <c r="X115" s="3">
        <f>+'Indice PondENGHO'!X113/'Indice PondENGHO'!X112-1</f>
        <v>3.592653028308046E-2</v>
      </c>
      <c r="Y115" s="3">
        <f>+'Indice PondENGHO'!Y113/'Indice PondENGHO'!Y112-1</f>
        <v>0.12019709041547366</v>
      </c>
      <c r="Z115" s="3">
        <f>+'Indice PondENGHO'!Z113/'Indice PondENGHO'!Z112-1</f>
        <v>3.4976794113418919E-2</v>
      </c>
      <c r="AA115" s="3">
        <f>+'Indice PondENGHO'!AA113/'Indice PondENGHO'!AA112-1</f>
        <v>1.6848080399401333E-2</v>
      </c>
      <c r="AB115" s="10">
        <f>+'Indice PondENGHO'!AB113/'Indice PondENGHO'!AB112-1</f>
        <v>3.4128598867891657E-2</v>
      </c>
      <c r="AC115" s="3">
        <f>+'Indice PondENGHO'!AC113/'Indice PondENGHO'!AC112-1</f>
        <v>2.1328153936100325E-2</v>
      </c>
      <c r="AD115" s="3">
        <f>+'Indice PondENGHO'!AD113/'Indice PondENGHO'!AD112-1</f>
        <v>2.8933525454183373E-2</v>
      </c>
      <c r="AE115" s="3">
        <f>+'Indice PondENGHO'!AE113/'Indice PondENGHO'!AE112-1</f>
        <v>3.6486249742945676E-2</v>
      </c>
      <c r="AF115" s="3">
        <f>+'Indice PondENGHO'!AF113/'Indice PondENGHO'!AF112-1</f>
        <v>1.2859633441007601E-2</v>
      </c>
      <c r="AG115" s="3">
        <f>+'Indice PondENGHO'!AG113/'Indice PondENGHO'!AG112-1</f>
        <v>2.5878625134875488E-2</v>
      </c>
      <c r="AH115" s="3">
        <f>+'Indice PondENGHO'!AH113/'Indice PondENGHO'!AH112-1</f>
        <v>4.0557738640168317E-2</v>
      </c>
      <c r="AI115" s="3">
        <f>+'Indice PondENGHO'!AI113/'Indice PondENGHO'!AI112-1</f>
        <v>2.9138480695516389E-2</v>
      </c>
      <c r="AJ115" s="3">
        <f>+'Indice PondENGHO'!AJ113/'Indice PondENGHO'!AJ112-1</f>
        <v>3.6246231770252768E-2</v>
      </c>
      <c r="AK115" s="3">
        <f>+'Indice PondENGHO'!AK113/'Indice PondENGHO'!AK112-1</f>
        <v>0.11799352276121278</v>
      </c>
      <c r="AL115" s="3">
        <f>+'Indice PondENGHO'!AL113/'Indice PondENGHO'!AL112-1</f>
        <v>3.4553760112644438E-2</v>
      </c>
      <c r="AM115" s="11">
        <f>+'Indice PondENGHO'!AM113/'Indice PondENGHO'!AM112-1</f>
        <v>1.674564992564509E-2</v>
      </c>
      <c r="AN115" s="3">
        <f>+'Indice PondENGHO'!AN113/'Indice PondENGHO'!AN112-1</f>
        <v>3.3483349756873837E-2</v>
      </c>
      <c r="AO115" s="3">
        <f>+'Indice PondENGHO'!AO113/'Indice PondENGHO'!AO112-1</f>
        <v>2.1175807045860973E-2</v>
      </c>
      <c r="AP115" s="3">
        <f>+'Indice PondENGHO'!AP113/'Indice PondENGHO'!AP112-1</f>
        <v>2.9801414993510633E-2</v>
      </c>
      <c r="AQ115" s="3">
        <f>+'Indice PondENGHO'!AQ113/'Indice PondENGHO'!AQ112-1</f>
        <v>3.5623792049129577E-2</v>
      </c>
      <c r="AR115" s="3">
        <f>+'Indice PondENGHO'!AR113/'Indice PondENGHO'!AR112-1</f>
        <v>1.2771857379819229E-2</v>
      </c>
      <c r="AS115" s="3">
        <f>+'Indice PondENGHO'!AS113/'Indice PondENGHO'!AS112-1</f>
        <v>2.6779202477785091E-2</v>
      </c>
      <c r="AT115" s="3">
        <f>+'Indice PondENGHO'!AT113/'Indice PondENGHO'!AT112-1</f>
        <v>4.0869588547716384E-2</v>
      </c>
      <c r="AU115" s="3">
        <f>+'Indice PondENGHO'!AU113/'Indice PondENGHO'!AU112-1</f>
        <v>2.9096984997169839E-2</v>
      </c>
      <c r="AV115" s="3">
        <f>+'Indice PondENGHO'!AV113/'Indice PondENGHO'!AV112-1</f>
        <v>3.5460076902272153E-2</v>
      </c>
      <c r="AW115" s="3">
        <f>+'Indice PondENGHO'!AW113/'Indice PondENGHO'!AW112-1</f>
        <v>0.11630368486054499</v>
      </c>
      <c r="AX115" s="3">
        <f>+'Indice PondENGHO'!AX113/'Indice PondENGHO'!AX112-1</f>
        <v>3.3874113956629426E-2</v>
      </c>
      <c r="AY115" s="3">
        <f>+'Indice PondENGHO'!AY113/'Indice PondENGHO'!AY112-1</f>
        <v>1.670544576216737E-2</v>
      </c>
      <c r="AZ115" s="10">
        <f>+'Indice PondENGHO'!AZ113/'Indice PondENGHO'!AZ112-1</f>
        <v>3.2418462989605823E-2</v>
      </c>
      <c r="BA115" s="3">
        <f>+'Indice PondENGHO'!BA113/'Indice PondENGHO'!BA112-1</f>
        <v>2.105965378911856E-2</v>
      </c>
      <c r="BB115" s="3">
        <f>+'Indice PondENGHO'!BB113/'Indice PondENGHO'!BB112-1</f>
        <v>3.0906296475432748E-2</v>
      </c>
      <c r="BC115" s="3">
        <f>+'Indice PondENGHO'!BC113/'Indice PondENGHO'!BC112-1</f>
        <v>3.3991746008576573E-2</v>
      </c>
      <c r="BD115" s="3">
        <f>+'Indice PondENGHO'!BD113/'Indice PondENGHO'!BD112-1</f>
        <v>1.2573954453032554E-2</v>
      </c>
      <c r="BE115" s="3">
        <f>+'Indice PondENGHO'!BE113/'Indice PondENGHO'!BE112-1</f>
        <v>2.7568114357658269E-2</v>
      </c>
      <c r="BF115" s="3">
        <f>+'Indice PondENGHO'!BF113/'Indice PondENGHO'!BF112-1</f>
        <v>4.1290758698606655E-2</v>
      </c>
      <c r="BG115" s="3">
        <f>+'Indice PondENGHO'!BG113/'Indice PondENGHO'!BG112-1</f>
        <v>2.9159571088578806E-2</v>
      </c>
      <c r="BH115" s="3">
        <f>+'Indice PondENGHO'!BH113/'Indice PondENGHO'!BH112-1</f>
        <v>3.4962194824523118E-2</v>
      </c>
      <c r="BI115" s="3">
        <f>+'Indice PondENGHO'!BI113/'Indice PondENGHO'!BI112-1</f>
        <v>0.11141817626218731</v>
      </c>
      <c r="BJ115" s="3">
        <f>+'Indice PondENGHO'!BJ113/'Indice PondENGHO'!BJ112-1</f>
        <v>3.3584632264303194E-2</v>
      </c>
      <c r="BK115" s="11">
        <f>+'Indice PondENGHO'!BK113/'Indice PondENGHO'!BK112-1</f>
        <v>1.6830254070931305E-2</v>
      </c>
      <c r="BL115" s="65">
        <f>+'Indice PondENGHO'!BL113/'Indice PondENGHO'!BL112-1</f>
        <v>3.4687104392262524E-2</v>
      </c>
      <c r="BM115" s="65">
        <f>+'Indice PondENGHO'!BM113/'Indice PondENGHO'!BM112-1</f>
        <v>3.422480242596615E-2</v>
      </c>
      <c r="BN115" s="65">
        <f>+'Indice PondENGHO'!BN113/'Indice PondENGHO'!BN112-1</f>
        <v>3.3799107064210743E-2</v>
      </c>
      <c r="BO115" s="65">
        <f>+'Indice PondENGHO'!BO113/'Indice PondENGHO'!BO112-1</f>
        <v>3.3596880145612129E-2</v>
      </c>
      <c r="BP115" s="65">
        <f>+'Indice PondENGHO'!BP113/'Indice PondENGHO'!BP112-1</f>
        <v>3.3034887479768793E-2</v>
      </c>
      <c r="BQ115" s="10">
        <f>+'Indice PondENGHO'!BQ113/'Indice PondENGHO'!BQ112-1</f>
        <v>3.4154153706060786E-2</v>
      </c>
      <c r="BR115" s="3">
        <f>+'Indice PondENGHO'!BR113/'Indice PondENGHO'!BR112-1</f>
        <v>2.1244748404344316E-2</v>
      </c>
      <c r="BS115" s="3">
        <f>+'Indice PondENGHO'!BS113/'Indice PondENGHO'!BS112-1</f>
        <v>2.9340729203527482E-2</v>
      </c>
      <c r="BT115" s="3">
        <f>+'Indice PondENGHO'!BT113/'Indice PondENGHO'!BT112-1</f>
        <v>3.6529932750996696E-2</v>
      </c>
      <c r="BU115" s="3">
        <f>+'Indice PondENGHO'!BU113/'Indice PondENGHO'!BU112-1</f>
        <v>1.2661133164442839E-2</v>
      </c>
      <c r="BV115" s="3">
        <f>+'Indice PondENGHO'!BV113/'Indice PondENGHO'!BV112-1</f>
        <v>2.6716915764276372E-2</v>
      </c>
      <c r="BW115" s="3">
        <f>+'Indice PondENGHO'!BW113/'Indice PondENGHO'!BW112-1</f>
        <v>4.0906723138556256E-2</v>
      </c>
      <c r="BX115" s="3">
        <f>+'Indice PondENGHO'!BX113/'Indice PondENGHO'!BX112-1</f>
        <v>2.911041209105858E-2</v>
      </c>
      <c r="BY115" s="3">
        <f>+'Indice PondENGHO'!BY113/'Indice PondENGHO'!BY112-1</f>
        <v>3.5457814822007272E-2</v>
      </c>
      <c r="BZ115" s="3">
        <f>+'Indice PondENGHO'!BZ113/'Indice PondENGHO'!BZ112-1</f>
        <v>0.1160419353509976</v>
      </c>
      <c r="CA115" s="3">
        <f>+'Indice PondENGHO'!CA113/'Indice PondENGHO'!CA112-1</f>
        <v>3.4127268416279E-2</v>
      </c>
      <c r="CB115" s="11">
        <f>+'Indice PondENGHO'!CB113/'Indice PondENGHO'!CB112-1</f>
        <v>1.6813170482515183E-2</v>
      </c>
      <c r="CC115" s="55">
        <f>+'Indice PondENGHO'!CC113/'Indice PondENGHO'!CC112-1</f>
        <v>3.3682160870649458E-2</v>
      </c>
      <c r="CD115" s="56">
        <f>+'Indice PondENGHO'!CD113/'Indice PondENGHO'!CD112-1</f>
        <v>3.3682254907187348E-2</v>
      </c>
      <c r="CF115" s="3">
        <f t="shared" ref="CF115" si="33">+BL115-BP115</f>
        <v>1.6522169124937314E-3</v>
      </c>
    </row>
    <row r="116" spans="1:84" x14ac:dyDescent="0.25">
      <c r="A116" s="2">
        <f>+'Indice PondENGHO'!A114</f>
        <v>46113</v>
      </c>
      <c r="B116" s="1" t="str">
        <f>+'Indice PondENGHO'!B114</f>
        <v>Abril</v>
      </c>
      <c r="C116" s="1">
        <f>+'Indice PondENGHO'!C114</f>
        <v>2026</v>
      </c>
      <c r="D116" s="10">
        <f>+'Indice PondENGHO'!D114/'Indice PondENGHO'!D113-1</f>
        <v>1.5674609418886876E-2</v>
      </c>
      <c r="E116" s="3">
        <f>+'Indice PondENGHO'!E114/'Indice PondENGHO'!E113-1</f>
        <v>1.8607229740345455E-2</v>
      </c>
      <c r="F116" s="3">
        <f>+'Indice PondENGHO'!F114/'Indice PondENGHO'!F113-1</f>
        <v>2.8774185242779415E-2</v>
      </c>
      <c r="G116" s="3">
        <f>+'Indice PondENGHO'!G114/'Indice PondENGHO'!G113-1</f>
        <v>3.369621064378725E-2</v>
      </c>
      <c r="H116" s="3">
        <f>+'Indice PondENGHO'!H114/'Indice PondENGHO'!H113-1</f>
        <v>2.6718686017218385E-2</v>
      </c>
      <c r="I116" s="3">
        <f>+'Indice PondENGHO'!I114/'Indice PondENGHO'!I113-1</f>
        <v>2.4711939763129243E-2</v>
      </c>
      <c r="J116" s="3">
        <f>+'Indice PondENGHO'!J114/'Indice PondENGHO'!J113-1</f>
        <v>4.6496233090530747E-2</v>
      </c>
      <c r="K116" s="3">
        <f>+'Indice PondENGHO'!K114/'Indice PondENGHO'!K113-1</f>
        <v>4.0955291783173031E-2</v>
      </c>
      <c r="L116" s="3">
        <f>+'Indice PondENGHO'!L114/'Indice PondENGHO'!L113-1</f>
        <v>9.9699761451399471E-3</v>
      </c>
      <c r="M116" s="3">
        <f>+'Indice PondENGHO'!M114/'Indice PondENGHO'!M113-1</f>
        <v>3.951093006206019E-2</v>
      </c>
      <c r="N116" s="3">
        <f>+'Indice PondENGHO'!N114/'Indice PondENGHO'!N113-1</f>
        <v>2.7551742724152728E-2</v>
      </c>
      <c r="O116" s="11">
        <f>+'Indice PondENGHO'!O114/'Indice PondENGHO'!O113-1</f>
        <v>2.3752647470171695E-2</v>
      </c>
      <c r="P116" s="3">
        <f>+'Indice PondENGHO'!P114/'Indice PondENGHO'!P113-1</f>
        <v>1.5042684245134552E-2</v>
      </c>
      <c r="Q116" s="3">
        <f>+'Indice PondENGHO'!Q114/'Indice PondENGHO'!Q113-1</f>
        <v>1.8745911579531427E-2</v>
      </c>
      <c r="R116" s="3">
        <f>+'Indice PondENGHO'!R114/'Indice PondENGHO'!R113-1</f>
        <v>2.9864473050627449E-2</v>
      </c>
      <c r="S116" s="3">
        <f>+'Indice PondENGHO'!S114/'Indice PondENGHO'!S113-1</f>
        <v>3.416498744483043E-2</v>
      </c>
      <c r="T116" s="3">
        <f>+'Indice PondENGHO'!T114/'Indice PondENGHO'!T113-1</f>
        <v>2.7902375763378728E-2</v>
      </c>
      <c r="U116" s="3">
        <f>+'Indice PondENGHO'!U114/'Indice PondENGHO'!U113-1</f>
        <v>2.4938249253582789E-2</v>
      </c>
      <c r="V116" s="3">
        <f>+'Indice PondENGHO'!V114/'Indice PondENGHO'!V113-1</f>
        <v>4.5558875586023895E-2</v>
      </c>
      <c r="W116" s="3">
        <f>+'Indice PondENGHO'!W114/'Indice PondENGHO'!W113-1</f>
        <v>4.0764123747387915E-2</v>
      </c>
      <c r="X116" s="3">
        <f>+'Indice PondENGHO'!X114/'Indice PondENGHO'!X113-1</f>
        <v>9.4004512997118983E-3</v>
      </c>
      <c r="Y116" s="3">
        <f>+'Indice PondENGHO'!Y114/'Indice PondENGHO'!Y113-1</f>
        <v>4.4272398776843858E-2</v>
      </c>
      <c r="Z116" s="3">
        <f>+'Indice PondENGHO'!Z114/'Indice PondENGHO'!Z113-1</f>
        <v>2.7023022815782172E-2</v>
      </c>
      <c r="AA116" s="3">
        <f>+'Indice PondENGHO'!AA114/'Indice PondENGHO'!AA113-1</f>
        <v>2.438999791043206E-2</v>
      </c>
      <c r="AB116" s="10">
        <f>+'Indice PondENGHO'!AB114/'Indice PondENGHO'!AB113-1</f>
        <v>1.4956208205466393E-2</v>
      </c>
      <c r="AC116" s="3">
        <f>+'Indice PondENGHO'!AC114/'Indice PondENGHO'!AC113-1</f>
        <v>1.8465987406117046E-2</v>
      </c>
      <c r="AD116" s="3">
        <f>+'Indice PondENGHO'!AD114/'Indice PondENGHO'!AD113-1</f>
        <v>2.9980254373889403E-2</v>
      </c>
      <c r="AE116" s="3">
        <f>+'Indice PondENGHO'!AE114/'Indice PondENGHO'!AE113-1</f>
        <v>3.4110237349251227E-2</v>
      </c>
      <c r="AF116" s="3">
        <f>+'Indice PondENGHO'!AF114/'Indice PondENGHO'!AF113-1</f>
        <v>2.8667258728250378E-2</v>
      </c>
      <c r="AG116" s="3">
        <f>+'Indice PondENGHO'!AG114/'Indice PondENGHO'!AG113-1</f>
        <v>2.4940499730931265E-2</v>
      </c>
      <c r="AH116" s="3">
        <f>+'Indice PondENGHO'!AH114/'Indice PondENGHO'!AH113-1</f>
        <v>4.5215816561317679E-2</v>
      </c>
      <c r="AI116" s="3">
        <f>+'Indice PondENGHO'!AI114/'Indice PondENGHO'!AI113-1</f>
        <v>4.065410901292088E-2</v>
      </c>
      <c r="AJ116" s="3">
        <f>+'Indice PondENGHO'!AJ114/'Indice PondENGHO'!AJ113-1</f>
        <v>9.033260327256043E-3</v>
      </c>
      <c r="AK116" s="3">
        <f>+'Indice PondENGHO'!AK114/'Indice PondENGHO'!AK113-1</f>
        <v>4.5140102364872758E-2</v>
      </c>
      <c r="AL116" s="3">
        <f>+'Indice PondENGHO'!AL114/'Indice PondENGHO'!AL113-1</f>
        <v>2.6510410156582731E-2</v>
      </c>
      <c r="AM116" s="11">
        <f>+'Indice PondENGHO'!AM114/'Indice PondENGHO'!AM113-1</f>
        <v>2.4596397120871583E-2</v>
      </c>
      <c r="AN116" s="3">
        <f>+'Indice PondENGHO'!AN114/'Indice PondENGHO'!AN113-1</f>
        <v>1.4948173787919128E-2</v>
      </c>
      <c r="AO116" s="3">
        <f>+'Indice PondENGHO'!AO114/'Indice PondENGHO'!AO113-1</f>
        <v>1.8698259783014093E-2</v>
      </c>
      <c r="AP116" s="3">
        <f>+'Indice PondENGHO'!AP114/'Indice PondENGHO'!AP113-1</f>
        <v>3.0832826824329196E-2</v>
      </c>
      <c r="AQ116" s="3">
        <f>+'Indice PondENGHO'!AQ114/'Indice PondENGHO'!AQ113-1</f>
        <v>3.4643388869166625E-2</v>
      </c>
      <c r="AR116" s="3">
        <f>+'Indice PondENGHO'!AR114/'Indice PondENGHO'!AR113-1</f>
        <v>2.8865588018543553E-2</v>
      </c>
      <c r="AS116" s="3">
        <f>+'Indice PondENGHO'!AS114/'Indice PondENGHO'!AS113-1</f>
        <v>2.5283255869152477E-2</v>
      </c>
      <c r="AT116" s="3">
        <f>+'Indice PondENGHO'!AT114/'Indice PondENGHO'!AT113-1</f>
        <v>4.4099143266254748E-2</v>
      </c>
      <c r="AU116" s="3">
        <f>+'Indice PondENGHO'!AU114/'Indice PondENGHO'!AU113-1</f>
        <v>4.0447475674063593E-2</v>
      </c>
      <c r="AV116" s="3">
        <f>+'Indice PondENGHO'!AV114/'Indice PondENGHO'!AV113-1</f>
        <v>9.4444677289620138E-3</v>
      </c>
      <c r="AW116" s="3">
        <f>+'Indice PondENGHO'!AW114/'Indice PondENGHO'!AW113-1</f>
        <v>4.5050856812472562E-2</v>
      </c>
      <c r="AX116" s="3">
        <f>+'Indice PondENGHO'!AX114/'Indice PondENGHO'!AX113-1</f>
        <v>2.6087575890562098E-2</v>
      </c>
      <c r="AY116" s="3">
        <f>+'Indice PondENGHO'!AY114/'Indice PondENGHO'!AY113-1</f>
        <v>2.5035512936278037E-2</v>
      </c>
      <c r="AZ116" s="10">
        <f>+'Indice PondENGHO'!AZ114/'Indice PondENGHO'!AZ113-1</f>
        <v>1.475954129364232E-2</v>
      </c>
      <c r="BA116" s="3">
        <f>+'Indice PondENGHO'!BA114/'Indice PondENGHO'!BA113-1</f>
        <v>1.8976730187350688E-2</v>
      </c>
      <c r="BB116" s="3">
        <f>+'Indice PondENGHO'!BB114/'Indice PondENGHO'!BB113-1</f>
        <v>3.1689512529966546E-2</v>
      </c>
      <c r="BC116" s="3">
        <f>+'Indice PondENGHO'!BC114/'Indice PondENGHO'!BC113-1</f>
        <v>3.6540514684590963E-2</v>
      </c>
      <c r="BD116" s="3">
        <f>+'Indice PondENGHO'!BD114/'Indice PondENGHO'!BD113-1</f>
        <v>2.9698321885573087E-2</v>
      </c>
      <c r="BE116" s="3">
        <f>+'Indice PondENGHO'!BE114/'Indice PondENGHO'!BE113-1</f>
        <v>2.5580984120033401E-2</v>
      </c>
      <c r="BF116" s="3">
        <f>+'Indice PondENGHO'!BF114/'Indice PondENGHO'!BF113-1</f>
        <v>4.3243044195576008E-2</v>
      </c>
      <c r="BG116" s="3">
        <f>+'Indice PondENGHO'!BG114/'Indice PondENGHO'!BG113-1</f>
        <v>4.0149167211044778E-2</v>
      </c>
      <c r="BH116" s="3">
        <f>+'Indice PondENGHO'!BH114/'Indice PondENGHO'!BH113-1</f>
        <v>9.9750720678486449E-3</v>
      </c>
      <c r="BI116" s="3">
        <f>+'Indice PondENGHO'!BI114/'Indice PondENGHO'!BI113-1</f>
        <v>4.8432646980933525E-2</v>
      </c>
      <c r="BJ116" s="3">
        <f>+'Indice PondENGHO'!BJ114/'Indice PondENGHO'!BJ113-1</f>
        <v>2.5626841902870234E-2</v>
      </c>
      <c r="BK116" s="11">
        <f>+'Indice PondENGHO'!BK114/'Indice PondENGHO'!BK113-1</f>
        <v>2.559569853324617E-2</v>
      </c>
      <c r="BL116" s="65">
        <f>+'Indice PondENGHO'!BL114/'Indice PondENGHO'!BL113-1</f>
        <v>2.3706274555240769E-2</v>
      </c>
      <c r="BM116" s="65">
        <f>+'Indice PondENGHO'!BM114/'Indice PondENGHO'!BM113-1</f>
        <v>2.5002570324790474E-2</v>
      </c>
      <c r="BN116" s="65">
        <f>+'Indice PondENGHO'!BN114/'Indice PondENGHO'!BN113-1</f>
        <v>2.5256629303020084E-2</v>
      </c>
      <c r="BO116" s="65">
        <f>+'Indice PondENGHO'!BO114/'Indice PondENGHO'!BO113-1</f>
        <v>2.6198987645306149E-2</v>
      </c>
      <c r="BP116" s="65">
        <f>+'Indice PondENGHO'!BP114/'Indice PondENGHO'!BP113-1</f>
        <v>2.7062700154520059E-2</v>
      </c>
      <c r="BQ116" s="10">
        <f>+'Indice PondENGHO'!BQ114/'Indice PondENGHO'!BQ113-1</f>
        <v>1.5055190213626002E-2</v>
      </c>
      <c r="BR116" s="3">
        <f>+'Indice PondENGHO'!BR114/'Indice PondENGHO'!BR113-1</f>
        <v>1.8740245335693961E-2</v>
      </c>
      <c r="BS116" s="3">
        <f>+'Indice PondENGHO'!BS114/'Indice PondENGHO'!BS113-1</f>
        <v>3.048204719114378E-2</v>
      </c>
      <c r="BT116" s="3">
        <f>+'Indice PondENGHO'!BT114/'Indice PondENGHO'!BT113-1</f>
        <v>3.4971479421035623E-2</v>
      </c>
      <c r="BU116" s="3">
        <f>+'Indice PondENGHO'!BU114/'Indice PondENGHO'!BU113-1</f>
        <v>2.8871623519461043E-2</v>
      </c>
      <c r="BV116" s="3">
        <f>+'Indice PondENGHO'!BV114/'Indice PondENGHO'!BV113-1</f>
        <v>2.5260961656808689E-2</v>
      </c>
      <c r="BW116" s="3">
        <f>+'Indice PondENGHO'!BW114/'Indice PondENGHO'!BW113-1</f>
        <v>4.4393359381849296E-2</v>
      </c>
      <c r="BX116" s="3">
        <f>+'Indice PondENGHO'!BX114/'Indice PondENGHO'!BX113-1</f>
        <v>4.0513118852249619E-2</v>
      </c>
      <c r="BY116" s="3">
        <f>+'Indice PondENGHO'!BY114/'Indice PondENGHO'!BY113-1</f>
        <v>9.6233338164122273E-3</v>
      </c>
      <c r="BZ116" s="3">
        <f>+'Indice PondENGHO'!BZ114/'Indice PondENGHO'!BZ113-1</f>
        <v>4.5959447125907271E-2</v>
      </c>
      <c r="CA116" s="3">
        <f>+'Indice PondENGHO'!CA114/'Indice PondENGHO'!CA113-1</f>
        <v>2.620125096458592E-2</v>
      </c>
      <c r="CB116" s="11">
        <f>+'Indice PondENGHO'!CB114/'Indice PondENGHO'!CB113-1</f>
        <v>2.4956065387965909E-2</v>
      </c>
      <c r="CC116" s="55">
        <f>+'Indice PondENGHO'!CC114/'Indice PondENGHO'!CC113-1</f>
        <v>2.5819634655575463E-2</v>
      </c>
      <c r="CD116" s="56">
        <f>+'Indice PondENGHO'!CD114/'Indice PondENGHO'!CD113-1</f>
        <v>2.5819634655575463E-2</v>
      </c>
      <c r="CF116" s="3">
        <f t="shared" ref="CF116" si="34">+BL116-BP116</f>
        <v>-3.3564255992792891E-3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4:BP11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5:BP11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4:CB11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5:CB11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6:BP11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6:CB11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7"/>
  <sheetViews>
    <sheetView zoomScaleNormal="100" workbookViewId="0">
      <pane xSplit="3" ySplit="4" topLeftCell="BE108" activePane="bottomRight" state="frozen"/>
      <selection pane="topRight" activeCell="D1" sqref="D1"/>
      <selection pane="bottomLeft" activeCell="A5" sqref="A5"/>
      <selection pane="bottomRight" activeCell="A117" sqref="A117:XFD117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7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  <row r="112" spans="1:74" x14ac:dyDescent="0.25">
      <c r="A112" s="2">
        <f>+'Indice PondENGHO'!A109</f>
        <v>45962</v>
      </c>
      <c r="B112" s="1" t="s">
        <v>88</v>
      </c>
      <c r="C112" s="1">
        <f t="shared" si="120"/>
        <v>2025</v>
      </c>
      <c r="D112" s="57">
        <f>+'Indice PondENGHO'!D109</f>
        <v>10323.419921875</v>
      </c>
      <c r="E112" s="57">
        <f>+'Indice PondENGHO'!E109</f>
        <v>7270.57275390625</v>
      </c>
      <c r="F112" s="57">
        <f>+'Indice PondENGHO'!F109</f>
        <v>7613.224609375</v>
      </c>
      <c r="G112" s="57">
        <f>+'Indice PondENGHO'!G109</f>
        <v>10679.3037109375</v>
      </c>
      <c r="H112" s="57">
        <f>+'Indice PondENGHO'!H109</f>
        <v>8221.6259765625</v>
      </c>
      <c r="I112" s="57">
        <f>+'Indice PondENGHO'!I109</f>
        <v>11254.9833984375</v>
      </c>
      <c r="J112" s="57">
        <f>+'Indice PondENGHO'!J109</f>
        <v>10399.5068359375</v>
      </c>
      <c r="K112" s="57">
        <f>+'Indice PondENGHO'!K109</f>
        <v>8951.5380859375</v>
      </c>
      <c r="L112" s="57">
        <f>+'Indice PondENGHO'!L109</f>
        <v>8797.9609375</v>
      </c>
      <c r="M112" s="57">
        <f>+'Indice PondENGHO'!M109</f>
        <v>8974.3779296875</v>
      </c>
      <c r="N112" s="57">
        <f>+'Indice PondENGHO'!N109</f>
        <v>11991.712890625</v>
      </c>
      <c r="O112" s="57">
        <f>+'Indice PondENGHO'!O109</f>
        <v>9612.5751953125</v>
      </c>
      <c r="P112">
        <f>+'Indice PondENGHO'!BL109</f>
        <v>9816.017578125</v>
      </c>
      <c r="Q112" s="65">
        <f t="shared" ref="Q112" si="429">+P112/P111-1</f>
        <v>2.4974389921325058E-2</v>
      </c>
      <c r="R112" s="75">
        <f t="shared" ref="R112" si="430">+D$3*(D112-D111)/$P111</f>
        <v>1.0547188974123269</v>
      </c>
      <c r="S112" s="75">
        <f t="shared" ref="S112" si="431">+E$3*(E112-E111)/$P111</f>
        <v>1.916426117041934E-2</v>
      </c>
      <c r="T112" s="75">
        <f t="shared" ref="T112" si="432">+F$3*(F112-F111)/$P111</f>
        <v>3.7612746337042306E-2</v>
      </c>
      <c r="U112" s="75">
        <f t="shared" ref="U112" si="433">+G$3*(G112-G111)/$P111</f>
        <v>0.51325051074900918</v>
      </c>
      <c r="V112" s="75">
        <f t="shared" ref="V112" si="434">+H$3*(H112-H111)/$P111</f>
        <v>4.0062480770731573E-2</v>
      </c>
      <c r="W112" s="75">
        <f t="shared" ref="W112" si="435">+I$3*(I112-I111)/$P111</f>
        <v>0.11384824625924708</v>
      </c>
      <c r="X112" s="75">
        <f t="shared" ref="X112" si="436">+J$3*(J112-J111)/$P111</f>
        <v>0.33505915210637138</v>
      </c>
      <c r="Y112" s="75">
        <f t="shared" ref="Y112" si="437">+K$3*(K112-K111)/$P111</f>
        <v>0.12165432719095634</v>
      </c>
      <c r="Z112" s="75">
        <f t="shared" ref="Z112" si="438">+L$3*(L112-L111)/$P111</f>
        <v>0.15631748592012942</v>
      </c>
      <c r="AA112" s="75">
        <f t="shared" ref="AA112" si="439">+M$3*(M112-M111)/$P111</f>
        <v>3.2561796523483677E-2</v>
      </c>
      <c r="AB112" s="75">
        <f t="shared" ref="AB112" si="440">+N$3*(N112-N111)/$P111</f>
        <v>0.11755209553594234</v>
      </c>
      <c r="AC112" s="75">
        <f t="shared" ref="AC112" si="441">+O$3*(O112-O111)/$P111</f>
        <v>8.7805657501061965E-2</v>
      </c>
      <c r="AE112" s="57">
        <f>+'Indice PondENGHO'!AZ109</f>
        <v>10447.2919921875</v>
      </c>
      <c r="AF112" s="57">
        <f>+'Indice PondENGHO'!BA109</f>
        <v>7315.62548828125</v>
      </c>
      <c r="AG112" s="57">
        <f>+'Indice PondENGHO'!BB109</f>
        <v>7822.0283203125</v>
      </c>
      <c r="AH112" s="57">
        <f>+'Indice PondENGHO'!BC109</f>
        <v>10127.8134765625</v>
      </c>
      <c r="AI112" s="57">
        <f>+'Indice PondENGHO'!BD109</f>
        <v>8301.521484375</v>
      </c>
      <c r="AJ112" s="57">
        <f>+'Indice PondENGHO'!BE109</f>
        <v>10955.583984375</v>
      </c>
      <c r="AK112" s="57">
        <f>+'Indice PondENGHO'!BF109</f>
        <v>10307.6669921875</v>
      </c>
      <c r="AL112" s="57">
        <f>+'Indice PondENGHO'!BG109</f>
        <v>8935.79296875</v>
      </c>
      <c r="AM112" s="57">
        <f>+'Indice PondENGHO'!BH109</f>
        <v>8908.1123046875</v>
      </c>
      <c r="AN112" s="57">
        <f>+'Indice PondENGHO'!BI109</f>
        <v>9024.8134765625</v>
      </c>
      <c r="AO112" s="57">
        <f>+'Indice PondENGHO'!BJ109</f>
        <v>11932.7236328125</v>
      </c>
      <c r="AP112" s="57">
        <f>+'Indice PondENGHO'!BK109</f>
        <v>9672.4462890625</v>
      </c>
      <c r="AQ112" s="57">
        <f>+'Indice PondENGHO'!BP109</f>
        <v>9868.3935546875</v>
      </c>
      <c r="AR112" s="65">
        <f t="shared" ref="AR112" si="442">+AQ112/AQ111-1</f>
        <v>2.4563295754381542E-2</v>
      </c>
      <c r="AS112" s="75">
        <f t="shared" ref="AS112" si="443">+AE$3*(AE112-AE111)/$P111</f>
        <v>0.45985097166433009</v>
      </c>
      <c r="AT112" s="75">
        <f t="shared" ref="AT112" si="444">+AF$3*(AF112-AF111)/$P111</f>
        <v>1.6431881238821392E-2</v>
      </c>
      <c r="AU112" s="75">
        <f t="shared" ref="AU112" si="445">+AG$3*(AG112-AG111)/$P111</f>
        <v>2.3126222923126615E-2</v>
      </c>
      <c r="AV112" s="75">
        <f t="shared" ref="AV112" si="446">+AH$3*(AH112-AH111)/$P111</f>
        <v>0.5277950868186414</v>
      </c>
      <c r="AW112" s="75">
        <f t="shared" ref="AW112" si="447">+AI$3*(AI112-AI111)/$P111</f>
        <v>6.8576458816655556E-2</v>
      </c>
      <c r="AX112" s="75">
        <f t="shared" ref="AX112" si="448">+AJ$3*(AJ112-AJ111)/$P111</f>
        <v>0.21638582797302719</v>
      </c>
      <c r="AY112" s="75">
        <f t="shared" ref="AY112" si="449">+AK$3*(AK112-AK111)/$P111</f>
        <v>0.49461086260776038</v>
      </c>
      <c r="AZ112" s="75">
        <f t="shared" ref="AZ112" si="450">+AL$3*(AL112-AL111)/$P111</f>
        <v>0.11220857423139088</v>
      </c>
      <c r="BA112" s="75">
        <f t="shared" ref="BA112" si="451">+AM$3*(AM112-AM111)/$P111</f>
        <v>0.22263865176719777</v>
      </c>
      <c r="BB112" s="75">
        <f t="shared" ref="BB112" si="452">+AN$3*(AN112-AN111)/$P111</f>
        <v>9.1759240628409594E-2</v>
      </c>
      <c r="BC112" s="75">
        <f t="shared" ref="BC112" si="453">+AO$3*(AO112-AO111)/$P111</f>
        <v>0.25154955768442311</v>
      </c>
      <c r="BD112" s="75">
        <f t="shared" ref="BD112" si="454">+AP$3*(AP112-AP111)/$P111</f>
        <v>0.12485576459277246</v>
      </c>
      <c r="BF112" s="57">
        <f t="shared" ref="BF112" si="455">+R112-AS112</f>
        <v>0.59486792574799685</v>
      </c>
      <c r="BG112" s="57">
        <f t="shared" ref="BG112" si="456">+S112-AT112</f>
        <v>2.7323799315979481E-3</v>
      </c>
      <c r="BH112" s="57">
        <f t="shared" ref="BH112" si="457">+T112-AU112</f>
        <v>1.4486523413915691E-2</v>
      </c>
      <c r="BI112" s="57">
        <f t="shared" ref="BI112" si="458">+U112-AV112</f>
        <v>-1.454457606963222E-2</v>
      </c>
      <c r="BJ112" s="57">
        <f t="shared" ref="BJ112" si="459">+V112-AW112</f>
        <v>-2.8513978045923982E-2</v>
      </c>
      <c r="BK112" s="57">
        <f t="shared" ref="BK112" si="460">+W112-AX112</f>
        <v>-0.10253758171378011</v>
      </c>
      <c r="BL112" s="57">
        <f t="shared" ref="BL112" si="461">+X112-AY112</f>
        <v>-0.159551710501389</v>
      </c>
      <c r="BM112" s="57">
        <f t="shared" ref="BM112" si="462">+Y112-AZ112</f>
        <v>9.4457529595654566E-3</v>
      </c>
      <c r="BN112" s="57">
        <f t="shared" ref="BN112" si="463">+Z112-BA112</f>
        <v>-6.6321165847068347E-2</v>
      </c>
      <c r="BO112" s="57">
        <f t="shared" ref="BO112" si="464">+AA112-BB112</f>
        <v>-5.9197444104925917E-2</v>
      </c>
      <c r="BP112" s="57">
        <f t="shared" ref="BP112" si="465">+AB112-BC112</f>
        <v>-0.13399746214848077</v>
      </c>
      <c r="BQ112" s="57">
        <f t="shared" ref="BQ112" si="466">+AC112-BD112</f>
        <v>-3.7050107091710499E-2</v>
      </c>
      <c r="BR112" s="57">
        <f t="shared" ref="BR112" si="467">+SUM(BF112:BQ112)</f>
        <v>1.9818556530165038E-2</v>
      </c>
      <c r="BU112" t="s">
        <v>102</v>
      </c>
      <c r="BV112">
        <v>3.151248062048824E-2</v>
      </c>
    </row>
    <row r="113" spans="1:70" x14ac:dyDescent="0.25">
      <c r="A113" s="2">
        <f>+'Indice PondENGHO'!A110</f>
        <v>45992</v>
      </c>
      <c r="B113" s="1" t="s">
        <v>88</v>
      </c>
      <c r="C113" s="1">
        <f t="shared" si="120"/>
        <v>2025</v>
      </c>
      <c r="D113" s="57">
        <f>+'Indice PondENGHO'!D110</f>
        <v>10670.6318359375</v>
      </c>
      <c r="E113" s="57">
        <f>+'Indice PondENGHO'!E110</f>
        <v>7470.73583984375</v>
      </c>
      <c r="F113" s="57">
        <f>+'Indice PondENGHO'!F110</f>
        <v>7691.072265625</v>
      </c>
      <c r="G113" s="57">
        <f>+'Indice PondENGHO'!G110</f>
        <v>11031.1513671875</v>
      </c>
      <c r="H113" s="57">
        <f>+'Indice PondENGHO'!H110</f>
        <v>8379.4326171875</v>
      </c>
      <c r="I113" s="57">
        <f>+'Indice PondENGHO'!I110</f>
        <v>11481.3876953125</v>
      </c>
      <c r="J113" s="57">
        <f>+'Indice PondENGHO'!J110</f>
        <v>10817.5234375</v>
      </c>
      <c r="K113" s="57">
        <f>+'Indice PondENGHO'!K110</f>
        <v>9236.7861328125</v>
      </c>
      <c r="L113" s="57">
        <f>+'Indice PondENGHO'!L110</f>
        <v>9013.5146484375</v>
      </c>
      <c r="M113" s="57">
        <f>+'Indice PondENGHO'!M110</f>
        <v>8997.66796875</v>
      </c>
      <c r="N113" s="57">
        <f>+'Indice PondENGHO'!N110</f>
        <v>12362.2939453125</v>
      </c>
      <c r="O113" s="57">
        <f>+'Indice PondENGHO'!O110</f>
        <v>9855.0576171875</v>
      </c>
      <c r="P113">
        <f>+'Indice PondENGHO'!BL110</f>
        <v>10102.953125</v>
      </c>
      <c r="Q113" s="65">
        <f t="shared" ref="Q113" si="468">+P113/P112-1</f>
        <v>2.9231360334402323E-2</v>
      </c>
      <c r="R113" s="75">
        <f t="shared" ref="R113" si="469">+D$3*(D113-D112)/$P112</f>
        <v>1.2194492736249944</v>
      </c>
      <c r="S113" s="75">
        <f t="shared" ref="S113" si="470">+E$3*(E113-E112)/$P112</f>
        <v>4.5342834047307871E-2</v>
      </c>
      <c r="T113" s="75">
        <f t="shared" ref="T113" si="471">+F$3*(F113-F112)/$P112</f>
        <v>6.3384301462488593E-2</v>
      </c>
      <c r="U113" s="75">
        <f t="shared" ref="U113" si="472">+G$3*(G113-G112)/$P112</f>
        <v>0.5086735938003395</v>
      </c>
      <c r="V113" s="75">
        <f t="shared" ref="V113" si="473">+H$3*(H113-H112)/$P112</f>
        <v>6.6224361743955781E-2</v>
      </c>
      <c r="W113" s="75">
        <f t="shared" ref="W113" si="474">+I$3*(I113-I112)/$P112</f>
        <v>9.6540196276040699E-2</v>
      </c>
      <c r="X113" s="75">
        <f t="shared" ref="X113" si="475">+J$3*(J113-J112)/$P112</f>
        <v>0.44241259396344645</v>
      </c>
      <c r="Y113" s="75">
        <f t="shared" ref="Y113" si="476">+K$3*(K113-K112)/$P112</f>
        <v>0.14575425638046532</v>
      </c>
      <c r="Z113" s="75">
        <f t="shared" ref="Z113" si="477">+L$3*(L113-L112)/$P112</f>
        <v>0.16913506204914919</v>
      </c>
      <c r="AA113" s="75">
        <f t="shared" ref="AA113" si="478">+M$3*(M113-M112)/$P112</f>
        <v>3.9106254478630739E-3</v>
      </c>
      <c r="AB113" s="75">
        <f t="shared" ref="AB113" si="479">+N$3*(N113-N112)/$P112</f>
        <v>0.16568761892278483</v>
      </c>
      <c r="AC113" s="75">
        <f t="shared" ref="AC113" si="480">+O$3*(O113-O112)/$P112</f>
        <v>9.0637532011012448E-2</v>
      </c>
      <c r="AE113" s="57">
        <f>+'Indice PondENGHO'!AZ110</f>
        <v>10763.8662109375</v>
      </c>
      <c r="AF113" s="57">
        <f>+'Indice PondENGHO'!BA110</f>
        <v>7522.75634765625</v>
      </c>
      <c r="AG113" s="57">
        <f>+'Indice PondENGHO'!BB110</f>
        <v>7907.07666015625</v>
      </c>
      <c r="AH113" s="57">
        <f>+'Indice PondENGHO'!BC110</f>
        <v>10476.529296875</v>
      </c>
      <c r="AI113" s="57">
        <f>+'Indice PondENGHO'!BD110</f>
        <v>8468.2548828125</v>
      </c>
      <c r="AJ113" s="57">
        <f>+'Indice PondENGHO'!BE110</f>
        <v>11194.025390625</v>
      </c>
      <c r="AK113" s="57">
        <f>+'Indice PondENGHO'!BF110</f>
        <v>10723.666015625</v>
      </c>
      <c r="AL113" s="57">
        <f>+'Indice PondENGHO'!BG110</f>
        <v>9235.2158203125</v>
      </c>
      <c r="AM113" s="57">
        <f>+'Indice PondENGHO'!BH110</f>
        <v>9136.9716796875</v>
      </c>
      <c r="AN113" s="57">
        <f>+'Indice PondENGHO'!BI110</f>
        <v>9030.05078125</v>
      </c>
      <c r="AO113" s="57">
        <f>+'Indice PondENGHO'!BJ110</f>
        <v>12299.1220703125</v>
      </c>
      <c r="AP113" s="57">
        <f>+'Indice PondENGHO'!BK110</f>
        <v>9943.8134765625</v>
      </c>
      <c r="AQ113" s="57">
        <f>+'Indice PondENGHO'!BP110</f>
        <v>10143.3369140625</v>
      </c>
      <c r="AR113" s="65">
        <f t="shared" ref="AR113" si="481">+AQ113/AQ112-1</f>
        <v>2.7861004716862148E-2</v>
      </c>
      <c r="AS113" s="75">
        <f t="shared" ref="AS113" si="482">+AE$3*(AE113-AE112)/$P112</f>
        <v>0.50628888283465612</v>
      </c>
      <c r="AT113" s="75">
        <f t="shared" ref="AT113" si="483">+AF$3*(AF113-AF112)/$P112</f>
        <v>3.883432527849813E-2</v>
      </c>
      <c r="AU113" s="75">
        <f t="shared" ref="AU113" si="484">+AG$3*(AG113-AG112)/$P112</f>
        <v>5.1722173338394919E-2</v>
      </c>
      <c r="AV113" s="75">
        <f t="shared" ref="AV113" si="485">+AH$3*(AH113-AH112)/$P112</f>
        <v>0.51936224733351222</v>
      </c>
      <c r="AW113" s="75">
        <f t="shared" ref="AW113" si="486">+AI$3*(AI113-AI112)/$P112</f>
        <v>0.11882246332908185</v>
      </c>
      <c r="AX113" s="75">
        <f t="shared" ref="AX113" si="487">+AJ$3*(AJ113-AJ112)/$P112</f>
        <v>0.19424456642557442</v>
      </c>
      <c r="AY113" s="75">
        <f t="shared" ref="AY113" si="488">+AK$3*(AK113-AK112)/$P112</f>
        <v>0.66301564221466014</v>
      </c>
      <c r="AZ113" s="75">
        <f t="shared" ref="AZ113" si="489">+AL$3*(AL113-AL112)/$P112</f>
        <v>0.13896264716380549</v>
      </c>
      <c r="BA113" s="75">
        <f t="shared" ref="BA113" si="490">+AM$3*(AM113-AM112)/$P112</f>
        <v>0.22723297746111629</v>
      </c>
      <c r="BB113" s="75">
        <f t="shared" ref="BB113" si="491">+AN$3*(AN113-AN112)/$P112</f>
        <v>2.008216028764527E-3</v>
      </c>
      <c r="BC113" s="75">
        <f t="shared" ref="BC113" si="492">+AO$3*(AO113-AO112)/$P112</f>
        <v>0.30464158250695467</v>
      </c>
      <c r="BD113" s="75">
        <f t="shared" ref="BD113" si="493">+AP$3*(AP113-AP112)/$P112</f>
        <v>0.13844905560243922</v>
      </c>
      <c r="BF113" s="57">
        <f t="shared" ref="BF113" si="494">+R113-AS113</f>
        <v>0.71316039079033833</v>
      </c>
      <c r="BG113" s="57">
        <f t="shared" ref="BG113" si="495">+S113-AT113</f>
        <v>6.5085087688097412E-3</v>
      </c>
      <c r="BH113" s="57">
        <f t="shared" ref="BH113" si="496">+T113-AU113</f>
        <v>1.1662128124093674E-2</v>
      </c>
      <c r="BI113" s="57">
        <f t="shared" ref="BI113" si="497">+U113-AV113</f>
        <v>-1.0688653533172721E-2</v>
      </c>
      <c r="BJ113" s="57">
        <f t="shared" ref="BJ113" si="498">+V113-AW113</f>
        <v>-5.2598101585126067E-2</v>
      </c>
      <c r="BK113" s="57">
        <f t="shared" ref="BK113" si="499">+W113-AX113</f>
        <v>-9.7704370149533717E-2</v>
      </c>
      <c r="BL113" s="57">
        <f t="shared" ref="BL113" si="500">+X113-AY113</f>
        <v>-0.22060304825121368</v>
      </c>
      <c r="BM113" s="57">
        <f t="shared" ref="BM113" si="501">+Y113-AZ113</f>
        <v>6.791609216659833E-3</v>
      </c>
      <c r="BN113" s="57">
        <f t="shared" ref="BN113" si="502">+Z113-BA113</f>
        <v>-5.8097915411967099E-2</v>
      </c>
      <c r="BO113" s="57">
        <f t="shared" ref="BO113" si="503">+AA113-BB113</f>
        <v>1.902409419098547E-3</v>
      </c>
      <c r="BP113" s="57">
        <f t="shared" ref="BP113" si="504">+AB113-BC113</f>
        <v>-0.13895396358416984</v>
      </c>
      <c r="BQ113" s="57">
        <f t="shared" ref="BQ113" si="505">+AC113-BD113</f>
        <v>-4.7811523591426777E-2</v>
      </c>
      <c r="BR113" s="57">
        <f t="shared" ref="BR113" si="506">+SUM(BF113:BQ113)</f>
        <v>0.11356747021239015</v>
      </c>
    </row>
    <row r="114" spans="1:70" x14ac:dyDescent="0.25">
      <c r="A114" s="2">
        <f>+'Indice PondENGHO'!A111</f>
        <v>46023</v>
      </c>
      <c r="B114" s="1" t="s">
        <v>88</v>
      </c>
      <c r="C114" s="1">
        <f t="shared" si="120"/>
        <v>2026</v>
      </c>
      <c r="D114" s="57">
        <f>+'Indice PondENGHO'!D111</f>
        <v>11159.5</v>
      </c>
      <c r="E114" s="57">
        <f>+'Indice PondENGHO'!E111</f>
        <v>7586.2216796875</v>
      </c>
      <c r="F114" s="57">
        <f>+'Indice PondENGHO'!F111</f>
        <v>7681.21875</v>
      </c>
      <c r="G114" s="57">
        <f>+'Indice PondENGHO'!G111</f>
        <v>11427.98828125</v>
      </c>
      <c r="H114" s="57">
        <f>+'Indice PondENGHO'!H111</f>
        <v>8535.287109375</v>
      </c>
      <c r="I114" s="57">
        <f>+'Indice PondENGHO'!I111</f>
        <v>11752.5888671875</v>
      </c>
      <c r="J114" s="57">
        <f>+'Indice PondENGHO'!J111</f>
        <v>11039.736328125</v>
      </c>
      <c r="K114" s="57">
        <f>+'Indice PondENGHO'!K111</f>
        <v>9565.60546875</v>
      </c>
      <c r="L114" s="57">
        <f>+'Indice PondENGHO'!L111</f>
        <v>9120.8876953125</v>
      </c>
      <c r="M114" s="57">
        <f>+'Indice PondENGHO'!M111</f>
        <v>9056.1181640625</v>
      </c>
      <c r="N114" s="57">
        <f>+'Indice PondENGHO'!N111</f>
        <v>12853.3896484375</v>
      </c>
      <c r="O114" s="57">
        <f>+'Indice PondENGHO'!O111</f>
        <v>10118.8837890625</v>
      </c>
      <c r="P114">
        <f>+'Indice PondENGHO'!BL111</f>
        <v>10426.4365234375</v>
      </c>
      <c r="Q114" s="65">
        <f t="shared" ref="Q114" si="507">+P114/P113-1</f>
        <v>3.2018697348702219E-2</v>
      </c>
      <c r="R114" s="75">
        <f t="shared" ref="R114" si="508">+D$3*(D114-D113)/$P113</f>
        <v>1.6681990365700388</v>
      </c>
      <c r="S114" s="75">
        <f t="shared" ref="S114" si="509">+E$3*(E114-E113)/$P113</f>
        <v>2.5417942896144321E-2</v>
      </c>
      <c r="T114" s="75">
        <f t="shared" ref="T114" si="510">+F$3*(F114-F113)/$P113</f>
        <v>-7.7949685208221929E-3</v>
      </c>
      <c r="U114" s="75">
        <f t="shared" ref="U114" si="511">+G$3*(G114-G113)/$P113</f>
        <v>0.55742133099338531</v>
      </c>
      <c r="V114" s="75">
        <f t="shared" ref="V114" si="512">+H$3*(H114-H113)/$P113</f>
        <v>6.3547551322745033E-2</v>
      </c>
      <c r="W114" s="75">
        <f t="shared" ref="W114" si="513">+I$3*(I114-I113)/$P113</f>
        <v>0.11235749905119166</v>
      </c>
      <c r="X114" s="75">
        <f t="shared" ref="X114" si="514">+J$3*(J114-J113)/$P113</f>
        <v>0.22850209673153871</v>
      </c>
      <c r="Y114" s="75">
        <f t="shared" ref="Y114" si="515">+K$3*(K114-K113)/$P113</f>
        <v>0.16324613359749243</v>
      </c>
      <c r="Z114" s="75">
        <f t="shared" ref="Z114" si="516">+L$3*(L114-L113)/$P113</f>
        <v>8.1857864304992436E-2</v>
      </c>
      <c r="AA114" s="75">
        <f t="shared" ref="AA114" si="517">+M$3*(M114-M113)/$P113</f>
        <v>9.5356205581391563E-3</v>
      </c>
      <c r="AB114" s="75">
        <f t="shared" ref="AB114" si="518">+N$3*(N114-N113)/$P113</f>
        <v>0.21333394649324358</v>
      </c>
      <c r="AC114" s="75">
        <f t="shared" ref="AC114" si="519">+O$3*(O114-O113)/$P113</f>
        <v>9.5814817297685775E-2</v>
      </c>
      <c r="AE114" s="57">
        <f>+'Indice PondENGHO'!AZ111</f>
        <v>11268.0830078125</v>
      </c>
      <c r="AF114" s="57">
        <f>+'Indice PondENGHO'!BA111</f>
        <v>7637.712890625</v>
      </c>
      <c r="AG114" s="57">
        <f>+'Indice PondENGHO'!BB111</f>
        <v>7873.30615234375</v>
      </c>
      <c r="AH114" s="57">
        <f>+'Indice PondENGHO'!BC111</f>
        <v>10773.1748046875</v>
      </c>
      <c r="AI114" s="57">
        <f>+'Indice PondENGHO'!BD111</f>
        <v>8620.765625</v>
      </c>
      <c r="AJ114" s="57">
        <f>+'Indice PondENGHO'!BE111</f>
        <v>11452.4208984375</v>
      </c>
      <c r="AK114" s="57">
        <f>+'Indice PondENGHO'!BF111</f>
        <v>10922.8427734375</v>
      </c>
      <c r="AL114" s="57">
        <f>+'Indice PondENGHO'!BG111</f>
        <v>9574.1015625</v>
      </c>
      <c r="AM114" s="57">
        <f>+'Indice PondENGHO'!BH111</f>
        <v>9228.384765625</v>
      </c>
      <c r="AN114" s="57">
        <f>+'Indice PondENGHO'!BI111</f>
        <v>9086.90234375</v>
      </c>
      <c r="AO114" s="57">
        <f>+'Indice PondENGHO'!BJ111</f>
        <v>12825.96484375</v>
      </c>
      <c r="AP114" s="57">
        <f>+'Indice PondENGHO'!BK111</f>
        <v>10220.689453125</v>
      </c>
      <c r="AQ114" s="57">
        <f>+'Indice PondENGHO'!BP111</f>
        <v>10418.8623046875</v>
      </c>
      <c r="AR114" s="65">
        <f t="shared" ref="AR114" si="520">+AQ114/AQ113-1</f>
        <v>2.7163190275482085E-2</v>
      </c>
      <c r="AS114" s="75">
        <f t="shared" ref="AS114" si="521">+AE$3*(AE114-AE113)/$P113</f>
        <v>0.78347861334180979</v>
      </c>
      <c r="AT114" s="75">
        <f t="shared" ref="AT114" si="522">+AF$3*(AF114-AF113)/$P113</f>
        <v>2.0940721520261801E-2</v>
      </c>
      <c r="AU114" s="75">
        <f t="shared" ref="AU114" si="523">+AG$3*(AG114-AG113)/$P113</f>
        <v>-1.9954254435047929E-2</v>
      </c>
      <c r="AV114" s="75">
        <f t="shared" ref="AV114" si="524">+AH$3*(AH114-AH113)/$P113</f>
        <v>0.42926303548156697</v>
      </c>
      <c r="AW114" s="75">
        <f t="shared" ref="AW114" si="525">+AI$3*(AI114-AI113)/$P113</f>
        <v>0.10559986751280287</v>
      </c>
      <c r="AX114" s="75">
        <f t="shared" ref="AX114" si="526">+AJ$3*(AJ114-AJ113)/$P113</f>
        <v>0.20452158669432829</v>
      </c>
      <c r="AY114" s="75">
        <f t="shared" ref="AY114" si="527">+AK$3*(AK114-AK113)/$P113</f>
        <v>0.30843035350940262</v>
      </c>
      <c r="AZ114" s="75">
        <f t="shared" ref="AZ114" si="528">+AL$3*(AL114-AL113)/$P113</f>
        <v>0.1528105797137331</v>
      </c>
      <c r="BA114" s="75">
        <f t="shared" ref="BA114" si="529">+AM$3*(AM114-AM113)/$P113</f>
        <v>8.8185668440386014E-2</v>
      </c>
      <c r="BB114" s="75">
        <f t="shared" ref="BB114" si="530">+AN$3*(AN114-AN113)/$P113</f>
        <v>2.1180293967842878E-2</v>
      </c>
      <c r="BC114" s="75">
        <f t="shared" ref="BC114" si="531">+AO$3*(AO114-AO113)/$P113</f>
        <v>0.42560192787267581</v>
      </c>
      <c r="BD114" s="75">
        <f t="shared" ref="BD114" si="532">+AP$3*(AP114-AP113)/$P113</f>
        <v>0.13724765374586897</v>
      </c>
      <c r="BF114" s="57">
        <f t="shared" ref="BF114" si="533">+R114-AS114</f>
        <v>0.88472042322822897</v>
      </c>
      <c r="BG114" s="57">
        <f t="shared" ref="BG114" si="534">+S114-AT114</f>
        <v>4.4772213758825195E-3</v>
      </c>
      <c r="BH114" s="57">
        <f t="shared" ref="BH114" si="535">+T114-AU114</f>
        <v>1.2159285914225736E-2</v>
      </c>
      <c r="BI114" s="57">
        <f t="shared" ref="BI114" si="536">+U114-AV114</f>
        <v>0.12815829551181834</v>
      </c>
      <c r="BJ114" s="57">
        <f t="shared" ref="BJ114" si="537">+V114-AW114</f>
        <v>-4.2052316190057837E-2</v>
      </c>
      <c r="BK114" s="57">
        <f t="shared" ref="BK114" si="538">+W114-AX114</f>
        <v>-9.2164087643136633E-2</v>
      </c>
      <c r="BL114" s="57">
        <f t="shared" ref="BL114" si="539">+X114-AY114</f>
        <v>-7.9928256777863915E-2</v>
      </c>
      <c r="BM114" s="57">
        <f t="shared" ref="BM114" si="540">+Y114-AZ114</f>
        <v>1.043555388375933E-2</v>
      </c>
      <c r="BN114" s="57">
        <f t="shared" ref="BN114" si="541">+Z114-BA114</f>
        <v>-6.3278041353935777E-3</v>
      </c>
      <c r="BO114" s="57">
        <f t="shared" ref="BO114" si="542">+AA114-BB114</f>
        <v>-1.1644673409703722E-2</v>
      </c>
      <c r="BP114" s="57">
        <f t="shared" ref="BP114" si="543">+AB114-BC114</f>
        <v>-0.21226798137943223</v>
      </c>
      <c r="BQ114" s="57">
        <f t="shared" ref="BQ114" si="544">+AC114-BD114</f>
        <v>-4.14328364481832E-2</v>
      </c>
      <c r="BR114" s="57">
        <f t="shared" ref="BR114" si="545">+SUM(BF114:BQ114)</f>
        <v>0.55413282393014351</v>
      </c>
    </row>
    <row r="115" spans="1:70" x14ac:dyDescent="0.25">
      <c r="A115" s="2">
        <f>+'Indice PondENGHO'!A112</f>
        <v>46054</v>
      </c>
      <c r="B115" s="1" t="s">
        <v>88</v>
      </c>
      <c r="C115" s="1">
        <f t="shared" si="120"/>
        <v>2026</v>
      </c>
      <c r="D115" s="57">
        <f>+'Indice PondENGHO'!D112</f>
        <v>11558.6669921875</v>
      </c>
      <c r="E115" s="57">
        <f>+'Indice PondENGHO'!E112</f>
        <v>7642.626953125</v>
      </c>
      <c r="F115" s="57">
        <f>+'Indice PondENGHO'!F112</f>
        <v>7689.50244140625</v>
      </c>
      <c r="G115" s="57">
        <f>+'Indice PondENGHO'!G112</f>
        <v>12210.8193359375</v>
      </c>
      <c r="H115" s="57">
        <f>+'Indice PondENGHO'!H112</f>
        <v>8750.3193359375</v>
      </c>
      <c r="I115" s="57">
        <f>+'Indice PondENGHO'!I112</f>
        <v>12041.9599609375</v>
      </c>
      <c r="J115" s="57">
        <f>+'Indice PondENGHO'!J112</f>
        <v>11275.40234375</v>
      </c>
      <c r="K115" s="57">
        <f>+'Indice PondENGHO'!K112</f>
        <v>9737.671875</v>
      </c>
      <c r="L115" s="57">
        <f>+'Indice PondENGHO'!L112</f>
        <v>9338.8369140625</v>
      </c>
      <c r="M115" s="57">
        <f>+'Indice PondENGHO'!M112</f>
        <v>9165.2373046875</v>
      </c>
      <c r="N115" s="57">
        <f>+'Indice PondENGHO'!N112</f>
        <v>13247.5888671875</v>
      </c>
      <c r="O115" s="57">
        <f>+'Indice PondENGHO'!O112</f>
        <v>10437.435546875</v>
      </c>
      <c r="P115">
        <f>+'Indice PondENGHO'!BL112</f>
        <v>10752.6845703125</v>
      </c>
      <c r="Q115" s="65">
        <f t="shared" ref="Q115" si="546">+P115/P114-1</f>
        <v>3.1290464977332455E-2</v>
      </c>
      <c r="R115" s="75">
        <f t="shared" ref="R115" si="547">+D$3*(D115-D114)/$P114</f>
        <v>1.3198457120469318</v>
      </c>
      <c r="S115" s="75">
        <f t="shared" ref="S115" si="548">+E$3*(E115-E114)/$P114</f>
        <v>1.2029395561889339E-2</v>
      </c>
      <c r="T115" s="75">
        <f t="shared" ref="T115" si="549">+F$3*(F115-F114)/$P114</f>
        <v>6.3497920411960578E-3</v>
      </c>
      <c r="U115" s="75">
        <f t="shared" ref="U115" si="550">+G$3*(G115-G114)/$P114</f>
        <v>1.0654964333338968</v>
      </c>
      <c r="V115" s="75">
        <f t="shared" ref="V115" si="551">+H$3*(H115-H114)/$P114</f>
        <v>8.4956278978613436E-2</v>
      </c>
      <c r="W115" s="75">
        <f t="shared" ref="W115" si="552">+I$3*(I115-I114)/$P114</f>
        <v>0.1161657450410091</v>
      </c>
      <c r="X115" s="75">
        <f t="shared" ref="X115" si="553">+J$3*(J115-J114)/$P114</f>
        <v>0.23481743207226438</v>
      </c>
      <c r="Y115" s="75">
        <f t="shared" ref="Y115" si="554">+K$3*(K115-K114)/$P114</f>
        <v>8.277402592017534E-2</v>
      </c>
      <c r="Z115" s="75">
        <f t="shared" ref="Z115" si="555">+L$3*(L115-L114)/$P114</f>
        <v>0.16100259782208809</v>
      </c>
      <c r="AA115" s="75">
        <f t="shared" ref="AA115" si="556">+M$3*(M115-M114)/$P114</f>
        <v>1.7249494241305265E-2</v>
      </c>
      <c r="AB115" s="75">
        <f t="shared" ref="AB115" si="557">+N$3*(N115-N114)/$P114</f>
        <v>0.16592889724140211</v>
      </c>
      <c r="AC115" s="75">
        <f t="shared" ref="AC115" si="558">+O$3*(O115-O114)/$P114</f>
        <v>0.11210042013353735</v>
      </c>
      <c r="AE115" s="57">
        <f>+'Indice PondENGHO'!AZ112</f>
        <v>11628.75390625</v>
      </c>
      <c r="AF115" s="57">
        <f>+'Indice PondENGHO'!BA112</f>
        <v>7683.85546875</v>
      </c>
      <c r="AG115" s="57">
        <f>+'Indice PondENGHO'!BB112</f>
        <v>7875.39892578125</v>
      </c>
      <c r="AH115" s="57">
        <f>+'Indice PondENGHO'!BC112</f>
        <v>11507.216796875</v>
      </c>
      <c r="AI115" s="57">
        <f>+'Indice PondENGHO'!BD112</f>
        <v>8845.4794921875</v>
      </c>
      <c r="AJ115" s="57">
        <f>+'Indice PondENGHO'!BE112</f>
        <v>11732.5166015625</v>
      </c>
      <c r="AK115" s="57">
        <f>+'Indice PondENGHO'!BF112</f>
        <v>11129.6279296875</v>
      </c>
      <c r="AL115" s="57">
        <f>+'Indice PondENGHO'!BG112</f>
        <v>9751.06640625</v>
      </c>
      <c r="AM115" s="57">
        <f>+'Indice PondENGHO'!BH112</f>
        <v>9437.6494140625</v>
      </c>
      <c r="AN115" s="57">
        <f>+'Indice PondENGHO'!BI112</f>
        <v>9203.818359375</v>
      </c>
      <c r="AO115" s="57">
        <f>+'Indice PondENGHO'!BJ112</f>
        <v>13201.4609375</v>
      </c>
      <c r="AP115" s="57">
        <f>+'Indice PondENGHO'!BK112</f>
        <v>10562.0341796875</v>
      </c>
      <c r="AQ115" s="57">
        <f>+'Indice PondENGHO'!BP112</f>
        <v>10712.396484375</v>
      </c>
      <c r="AR115" s="65">
        <f t="shared" ref="AR115" si="559">+AQ115/AQ114-1</f>
        <v>2.8173342837580106E-2</v>
      </c>
      <c r="AS115" s="75">
        <f t="shared" ref="AS115" si="560">+AE$3*(AE115-AE114)/$P114</f>
        <v>0.54304194101068914</v>
      </c>
      <c r="AT115" s="75">
        <f t="shared" ref="AT115" si="561">+AF$3*(AF115-AF114)/$P114</f>
        <v>8.1446464533691098E-3</v>
      </c>
      <c r="AU115" s="75">
        <f t="shared" ref="AU115" si="562">+AG$3*(AG115-AG114)/$P114</f>
        <v>1.1982089608266859E-3</v>
      </c>
      <c r="AV115" s="75">
        <f t="shared" ref="AV115" si="563">+AH$3*(AH115-AH114)/$P114</f>
        <v>1.029245687178564</v>
      </c>
      <c r="AW115" s="75">
        <f t="shared" ref="AW115" si="564">+AI$3*(AI115-AI114)/$P114</f>
        <v>0.15076663677530588</v>
      </c>
      <c r="AX115" s="75">
        <f t="shared" ref="AX115" si="565">+AJ$3*(AJ115-AJ114)/$P114</f>
        <v>0.21481919016934206</v>
      </c>
      <c r="AY115" s="75">
        <f t="shared" ref="AY115" si="566">+AK$3*(AK115-AK114)/$P114</f>
        <v>0.31027747443989462</v>
      </c>
      <c r="AZ115" s="75">
        <f t="shared" ref="AZ115" si="567">+AL$3*(AL115-AL114)/$P114</f>
        <v>7.7321373027423715E-2</v>
      </c>
      <c r="BA115" s="75">
        <f t="shared" ref="BA115" si="568">+AM$3*(AM115-AM114)/$P114</f>
        <v>0.19561310356455525</v>
      </c>
      <c r="BB115" s="75">
        <f t="shared" ref="BB115" si="569">+AN$3*(AN115-AN114)/$P114</f>
        <v>4.2206177329466271E-2</v>
      </c>
      <c r="BC115" s="75">
        <f t="shared" ref="BC115" si="570">+AO$3*(AO115-AO114)/$P114</f>
        <v>0.29392763284703471</v>
      </c>
      <c r="BD115" s="75">
        <f t="shared" ref="BD115" si="571">+AP$3*(AP115-AP114)/$P114</f>
        <v>0.16395523415746796</v>
      </c>
      <c r="BF115" s="57">
        <f t="shared" ref="BF115" si="572">+R115-AS115</f>
        <v>0.77680377103624265</v>
      </c>
      <c r="BG115" s="57">
        <f t="shared" ref="BG115" si="573">+S115-AT115</f>
        <v>3.8847491085202291E-3</v>
      </c>
      <c r="BH115" s="57">
        <f t="shared" ref="BH115" si="574">+T115-AU115</f>
        <v>5.1515830803693721E-3</v>
      </c>
      <c r="BI115" s="57">
        <f t="shared" ref="BI115" si="575">+U115-AV115</f>
        <v>3.6250746155332747E-2</v>
      </c>
      <c r="BJ115" s="57">
        <f t="shared" ref="BJ115" si="576">+V115-AW115</f>
        <v>-6.5810357796692448E-2</v>
      </c>
      <c r="BK115" s="57">
        <f t="shared" ref="BK115" si="577">+W115-AX115</f>
        <v>-9.8653445128332962E-2</v>
      </c>
      <c r="BL115" s="57">
        <f t="shared" ref="BL115" si="578">+X115-AY115</f>
        <v>-7.5460042367630237E-2</v>
      </c>
      <c r="BM115" s="57">
        <f t="shared" ref="BM115" si="579">+Y115-AZ115</f>
        <v>5.4526528927516249E-3</v>
      </c>
      <c r="BN115" s="57">
        <f t="shared" ref="BN115" si="580">+Z115-BA115</f>
        <v>-3.4610505742467157E-2</v>
      </c>
      <c r="BO115" s="57">
        <f t="shared" ref="BO115" si="581">+AA115-BB115</f>
        <v>-2.4956683088161007E-2</v>
      </c>
      <c r="BP115" s="57">
        <f t="shared" ref="BP115" si="582">+AB115-BC115</f>
        <v>-0.1279987356056326</v>
      </c>
      <c r="BQ115" s="57">
        <f t="shared" ref="BQ115" si="583">+AC115-BD115</f>
        <v>-5.1854814023930607E-2</v>
      </c>
      <c r="BR115" s="57">
        <f t="shared" ref="BR115" si="584">+SUM(BF115:BQ115)</f>
        <v>0.3481989185203696</v>
      </c>
    </row>
    <row r="116" spans="1:70" x14ac:dyDescent="0.25">
      <c r="A116" s="2">
        <f>+'Indice PondENGHO'!A113</f>
        <v>46082</v>
      </c>
      <c r="B116" s="1" t="s">
        <v>88</v>
      </c>
      <c r="C116" s="1">
        <f t="shared" si="120"/>
        <v>2026</v>
      </c>
      <c r="D116" s="57">
        <f>+'Indice PondENGHO'!D113</f>
        <v>11977.720703125</v>
      </c>
      <c r="E116" s="57">
        <f>+'Indice PondENGHO'!E113</f>
        <v>7806.9453125</v>
      </c>
      <c r="F116" s="57">
        <f>+'Indice PondENGHO'!F113</f>
        <v>7896.73681640625</v>
      </c>
      <c r="G116" s="57">
        <f>+'Indice PondENGHO'!G113</f>
        <v>12727.0546875</v>
      </c>
      <c r="H116" s="57">
        <f>+'Indice PondENGHO'!H113</f>
        <v>8859.6337890625</v>
      </c>
      <c r="I116" s="57">
        <f>+'Indice PondENGHO'!I113</f>
        <v>12346.4404296875</v>
      </c>
      <c r="J116" s="57">
        <f>+'Indice PondENGHO'!J113</f>
        <v>11730.95703125</v>
      </c>
      <c r="K116" s="57">
        <f>+'Indice PondENGHO'!K113</f>
        <v>10020.048828125</v>
      </c>
      <c r="L116" s="57">
        <f>+'Indice PondENGHO'!L113</f>
        <v>9669.0693359375</v>
      </c>
      <c r="M116" s="57">
        <f>+'Indice PondENGHO'!M113</f>
        <v>10361.8232421875</v>
      </c>
      <c r="N116" s="57">
        <f>+'Indice PondENGHO'!N113</f>
        <v>13717.1591796875</v>
      </c>
      <c r="O116" s="57">
        <f>+'Indice PondENGHO'!O113</f>
        <v>10615.5107421875</v>
      </c>
      <c r="P116">
        <f>+'Indice PondENGHO'!BL113</f>
        <v>11125.6640625</v>
      </c>
      <c r="Q116" s="65">
        <f t="shared" ref="Q116" si="585">+P116/P115-1</f>
        <v>3.4687104392262524E-2</v>
      </c>
      <c r="R116" s="75">
        <f t="shared" ref="R116" si="586">+D$3*(D116-D115)/$P115</f>
        <v>1.3435605169042371</v>
      </c>
      <c r="S116" s="75">
        <f t="shared" ref="S116" si="587">+E$3*(E116-E115)/$P115</f>
        <v>3.3980454607487269E-2</v>
      </c>
      <c r="T116" s="75">
        <f t="shared" ref="T116" si="588">+F$3*(F116-F115)/$P115</f>
        <v>0.154033925616543</v>
      </c>
      <c r="U116" s="75">
        <f t="shared" ref="U116" si="589">+G$3*(G116-G115)/$P115</f>
        <v>0.68131930342921432</v>
      </c>
      <c r="V116" s="75">
        <f t="shared" ref="V116" si="590">+H$3*(H116-H115)/$P115</f>
        <v>4.1878248976225677E-2</v>
      </c>
      <c r="W116" s="75">
        <f t="shared" ref="W116" si="591">+I$3*(I116-I115)/$P115</f>
        <v>0.11852265555453313</v>
      </c>
      <c r="X116" s="75">
        <f t="shared" ref="X116" si="592">+J$3*(J116-J115)/$P115</f>
        <v>0.44014208090965351</v>
      </c>
      <c r="Y116" s="75">
        <f t="shared" ref="Y116" si="593">+K$3*(K116-K115)/$P115</f>
        <v>0.13171833609462277</v>
      </c>
      <c r="Z116" s="75">
        <f t="shared" ref="Z116" si="594">+L$3*(L116-L115)/$P115</f>
        <v>0.23654636254625455</v>
      </c>
      <c r="AA116" s="75">
        <f t="shared" ref="AA116" si="595">+M$3*(M116-M115)/$P115</f>
        <v>0.18341646593207933</v>
      </c>
      <c r="AB116" s="75">
        <f t="shared" ref="AB116" si="596">+N$3*(N116-N115)/$P115</f>
        <v>0.19165753452301901</v>
      </c>
      <c r="AC116" s="75">
        <f t="shared" ref="AC116" si="597">+O$3*(O116-O115)/$P115</f>
        <v>6.076446258935695E-2</v>
      </c>
      <c r="AE116" s="57">
        <f>+'Indice PondENGHO'!AZ113</f>
        <v>12005.740234375</v>
      </c>
      <c r="AF116" s="57">
        <f>+'Indice PondENGHO'!BA113</f>
        <v>7845.6748046875</v>
      </c>
      <c r="AG116" s="57">
        <f>+'Indice PondENGHO'!BB113</f>
        <v>8118.79833984375</v>
      </c>
      <c r="AH116" s="57">
        <f>+'Indice PondENGHO'!BC113</f>
        <v>11898.3671875</v>
      </c>
      <c r="AI116" s="57">
        <f>+'Indice PondENGHO'!BD113</f>
        <v>8956.7021484375</v>
      </c>
      <c r="AJ116" s="57">
        <f>+'Indice PondENGHO'!BE113</f>
        <v>12055.9599609375</v>
      </c>
      <c r="AK116" s="57">
        <f>+'Indice PondENGHO'!BF113</f>
        <v>11589.1787109375</v>
      </c>
      <c r="AL116" s="57">
        <f>+'Indice PondENGHO'!BG113</f>
        <v>10035.4033203125</v>
      </c>
      <c r="AM116" s="57">
        <f>+'Indice PondENGHO'!BH113</f>
        <v>9767.6103515625</v>
      </c>
      <c r="AN116" s="57">
        <f>+'Indice PondENGHO'!BI113</f>
        <v>10229.291015625</v>
      </c>
      <c r="AO116" s="57">
        <f>+'Indice PondENGHO'!BJ113</f>
        <v>13644.8271484375</v>
      </c>
      <c r="AP116" s="57">
        <f>+'Indice PondENGHO'!BK113</f>
        <v>10739.7958984375</v>
      </c>
      <c r="AQ116" s="57">
        <f>+'Indice PondENGHO'!BP113</f>
        <v>11066.279296875</v>
      </c>
      <c r="AR116" s="65">
        <f t="shared" ref="AR116" si="598">+AQ116/AQ115-1</f>
        <v>3.3034887479768793E-2</v>
      </c>
      <c r="AS116" s="75">
        <f t="shared" ref="AS116" si="599">+AE$3*(AE116-AE115)/$P115</f>
        <v>0.55038535466134708</v>
      </c>
      <c r="AT116" s="75">
        <f t="shared" ref="AT116" si="600">+AF$3*(AF116-AF115)/$P115</f>
        <v>2.76961748943844E-2</v>
      </c>
      <c r="AU116" s="75">
        <f t="shared" ref="AU116" si="601">+AG$3*(AG116-AG115)/$P115</f>
        <v>0.13512909704732237</v>
      </c>
      <c r="AV116" s="75">
        <f t="shared" ref="AV116" si="602">+AH$3*(AH116-AH115)/$P115</f>
        <v>0.5318154089467021</v>
      </c>
      <c r="AW116" s="75">
        <f t="shared" ref="AW116" si="603">+AI$3*(AI116-AI115)/$P115</f>
        <v>7.2358179819051557E-2</v>
      </c>
      <c r="AX116" s="75">
        <f t="shared" ref="AX116" si="604">+AJ$3*(AJ116-AJ115)/$P115</f>
        <v>0.24053809392863143</v>
      </c>
      <c r="AY116" s="75">
        <f t="shared" ref="AY116" si="605">+AK$3*(AK116-AK115)/$P115</f>
        <v>0.66862620521406579</v>
      </c>
      <c r="AZ116" s="75">
        <f t="shared" ref="AZ116" si="606">+AL$3*(AL116-AL115)/$P115</f>
        <v>0.12046608697721756</v>
      </c>
      <c r="BA116" s="75">
        <f t="shared" ref="BA116" si="607">+AM$3*(AM116-AM115)/$P115</f>
        <v>0.29907740371078995</v>
      </c>
      <c r="BB116" s="75">
        <f t="shared" ref="BB116" si="608">+AN$3*(AN116-AN115)/$P115</f>
        <v>0.35895920514630675</v>
      </c>
      <c r="BC116" s="75">
        <f t="shared" ref="BC116" si="609">+AO$3*(AO116-AO115)/$P115</f>
        <v>0.33652441933380561</v>
      </c>
      <c r="BD116" s="75">
        <f t="shared" ref="BD116" si="610">+AP$3*(AP116-AP115)/$P115</f>
        <v>8.2792181553521971E-2</v>
      </c>
      <c r="BF116" s="57">
        <f t="shared" ref="BF116" si="611">+R116-AS116</f>
        <v>0.79317516224288998</v>
      </c>
      <c r="BG116" s="57">
        <f t="shared" ref="BG116" si="612">+S116-AT116</f>
        <v>6.2842797131028687E-3</v>
      </c>
      <c r="BH116" s="57">
        <f t="shared" ref="BH116" si="613">+T116-AU116</f>
        <v>1.8904828569220627E-2</v>
      </c>
      <c r="BI116" s="57">
        <f t="shared" ref="BI116" si="614">+U116-AV116</f>
        <v>0.14950389448251222</v>
      </c>
      <c r="BJ116" s="57">
        <f t="shared" ref="BJ116" si="615">+V116-AW116</f>
        <v>-3.0479930842825881E-2</v>
      </c>
      <c r="BK116" s="57">
        <f t="shared" ref="BK116" si="616">+W116-AX116</f>
        <v>-0.1220154383740983</v>
      </c>
      <c r="BL116" s="57">
        <f t="shared" ref="BL116" si="617">+X116-AY116</f>
        <v>-0.22848412430441228</v>
      </c>
      <c r="BM116" s="57">
        <f t="shared" ref="BM116" si="618">+Y116-AZ116</f>
        <v>1.1252249117405216E-2</v>
      </c>
      <c r="BN116" s="57">
        <f t="shared" ref="BN116" si="619">+Z116-BA116</f>
        <v>-6.2531041164535395E-2</v>
      </c>
      <c r="BO116" s="57">
        <f t="shared" ref="BO116" si="620">+AA116-BB116</f>
        <v>-0.17554273921422742</v>
      </c>
      <c r="BP116" s="57">
        <f t="shared" ref="BP116" si="621">+AB116-BC116</f>
        <v>-0.14486688481078661</v>
      </c>
      <c r="BQ116" s="57">
        <f t="shared" ref="BQ116" si="622">+AC116-BD116</f>
        <v>-2.202771896416502E-2</v>
      </c>
      <c r="BR116" s="57">
        <f t="shared" ref="BR116" si="623">+SUM(BF116:BQ116)</f>
        <v>0.19317253645007992</v>
      </c>
    </row>
    <row r="117" spans="1:70" x14ac:dyDescent="0.25">
      <c r="A117" s="2">
        <f>+'Indice PondENGHO'!A114</f>
        <v>46113</v>
      </c>
      <c r="B117" s="1" t="s">
        <v>88</v>
      </c>
      <c r="C117" s="1">
        <f t="shared" si="120"/>
        <v>2026</v>
      </c>
      <c r="D117" s="57">
        <f>+'Indice PondENGHO'!D114</f>
        <v>12165.466796875</v>
      </c>
      <c r="E117" s="57">
        <f>+'Indice PondENGHO'!E114</f>
        <v>7952.2109375</v>
      </c>
      <c r="F117" s="57">
        <f>+'Indice PondENGHO'!F114</f>
        <v>8123.958984375</v>
      </c>
      <c r="G117" s="57">
        <f>+'Indice PondENGHO'!G114</f>
        <v>13155.908203125</v>
      </c>
      <c r="H117" s="57">
        <f>+'Indice PondENGHO'!H114</f>
        <v>9096.3515625</v>
      </c>
      <c r="I117" s="57">
        <f>+'Indice PondENGHO'!I114</f>
        <v>12651.544921875</v>
      </c>
      <c r="J117" s="57">
        <f>+'Indice PondENGHO'!J114</f>
        <v>12276.40234375</v>
      </c>
      <c r="K117" s="57">
        <f>+'Indice PondENGHO'!K114</f>
        <v>10430.4228515625</v>
      </c>
      <c r="L117" s="57">
        <f>+'Indice PondENGHO'!L114</f>
        <v>9765.4697265625</v>
      </c>
      <c r="M117" s="57">
        <f>+'Indice PondENGHO'!M114</f>
        <v>10771.228515625</v>
      </c>
      <c r="N117" s="57">
        <f>+'Indice PondENGHO'!N114</f>
        <v>14095.0908203125</v>
      </c>
      <c r="O117" s="57">
        <f>+'Indice PondENGHO'!O114</f>
        <v>10867.6572265625</v>
      </c>
      <c r="P117">
        <f>+'Indice PondENGHO'!BL114</f>
        <v>11389.412109375</v>
      </c>
      <c r="Q117" s="65">
        <f t="shared" ref="Q117" si="624">+P117/P116-1</f>
        <v>2.3706274555240769E-2</v>
      </c>
      <c r="R117" s="75">
        <f t="shared" ref="R117" si="625">+D$3*(D117-D116)/$P116</f>
        <v>0.58176744542806813</v>
      </c>
      <c r="S117" s="75">
        <f t="shared" ref="S117" si="626">+E$3*(E117-E116)/$P116</f>
        <v>2.9033334335654859E-2</v>
      </c>
      <c r="T117" s="75">
        <f t="shared" ref="T117" si="627">+F$3*(F117-F116)/$P116</f>
        <v>0.16322859819017085</v>
      </c>
      <c r="U117" s="75">
        <f t="shared" ref="U117" si="628">+G$3*(G117-G116)/$P116</f>
        <v>0.54701960362536139</v>
      </c>
      <c r="V117" s="75">
        <f t="shared" ref="V117" si="629">+H$3*(H117-H116)/$P116</f>
        <v>8.7646132882360103E-2</v>
      </c>
      <c r="W117" s="75">
        <f t="shared" ref="W117" si="630">+I$3*(I117-I116)/$P116</f>
        <v>0.11478403820762136</v>
      </c>
      <c r="X117" s="75">
        <f t="shared" ref="X117" si="631">+J$3*(J117-J116)/$P116</f>
        <v>0.50932447956307147</v>
      </c>
      <c r="Y117" s="75">
        <f t="shared" ref="Y117" si="632">+K$3*(K117-K116)/$P116</f>
        <v>0.18500685222918595</v>
      </c>
      <c r="Z117" s="75">
        <f t="shared" ref="Z117" si="633">+L$3*(L117-L116)/$P116</f>
        <v>6.6736944952290933E-2</v>
      </c>
      <c r="AA117" s="75">
        <f t="shared" ref="AA117" si="634">+M$3*(M117-M116)/$P116</f>
        <v>6.0651119652560863E-2</v>
      </c>
      <c r="AB117" s="75">
        <f t="shared" ref="AB117" si="635">+N$3*(N117-N116)/$P116</f>
        <v>0.14908346623095345</v>
      </c>
      <c r="AC117" s="75">
        <f t="shared" ref="AC117" si="636">+O$3*(O117-O116)/$P116</f>
        <v>8.3155334103678646E-2</v>
      </c>
      <c r="AE117" s="57">
        <f>+'Indice PondENGHO'!AZ114</f>
        <v>12182.939453125</v>
      </c>
      <c r="AF117" s="57">
        <f>+'Indice PondENGHO'!BA114</f>
        <v>7994.56005859375</v>
      </c>
      <c r="AG117" s="57">
        <f>+'Indice PondENGHO'!BB114</f>
        <v>8376.0791015625</v>
      </c>
      <c r="AH117" s="57">
        <f>+'Indice PondENGHO'!BC114</f>
        <v>12333.1396484375</v>
      </c>
      <c r="AI117" s="57">
        <f>+'Indice PondENGHO'!BD114</f>
        <v>9222.701171875</v>
      </c>
      <c r="AJ117" s="57">
        <f>+'Indice PondENGHO'!BE114</f>
        <v>12364.36328125</v>
      </c>
      <c r="AK117" s="57">
        <f>+'Indice PondENGHO'!BF114</f>
        <v>12090.330078125</v>
      </c>
      <c r="AL117" s="57">
        <f>+'Indice PondENGHO'!BG114</f>
        <v>10438.31640625</v>
      </c>
      <c r="AM117" s="57">
        <f>+'Indice PondENGHO'!BH114</f>
        <v>9865.04296875</v>
      </c>
      <c r="AN117" s="57">
        <f>+'Indice PondENGHO'!BI114</f>
        <v>10724.72265625</v>
      </c>
      <c r="AO117" s="57">
        <f>+'Indice PondENGHO'!BJ114</f>
        <v>13994.5009765625</v>
      </c>
      <c r="AP117" s="57">
        <f>+'Indice PondENGHO'!BK114</f>
        <v>11014.6884765625</v>
      </c>
      <c r="AQ117" s="57">
        <f>+'Indice PondENGHO'!BP114</f>
        <v>11365.7626953125</v>
      </c>
      <c r="AR117" s="65">
        <f t="shared" ref="AR117" si="637">+AQ117/AQ116-1</f>
        <v>2.7062700154520059E-2</v>
      </c>
      <c r="AS117" s="75">
        <f t="shared" ref="AS117" si="638">+AE$3*(AE117-AE116)/$P116</f>
        <v>0.25003110215529784</v>
      </c>
      <c r="AT117" s="75">
        <f t="shared" ref="AT117" si="639">+AF$3*(AF117-AF116)/$P116</f>
        <v>2.4628163489264002E-2</v>
      </c>
      <c r="AU117" s="75">
        <f t="shared" ref="AU117" si="640">+AG$3*(AG117-AG116)/$P116</f>
        <v>0.13804720652198979</v>
      </c>
      <c r="AV117" s="75">
        <f t="shared" ref="AV117" si="641">+AH$3*(AH117-AH116)/$P116</f>
        <v>0.57130778142490191</v>
      </c>
      <c r="AW117" s="75">
        <f t="shared" ref="AW117" si="642">+AI$3*(AI117-AI116)/$P116</f>
        <v>0.1672497112327764</v>
      </c>
      <c r="AX117" s="75">
        <f t="shared" ref="AX117" si="643">+AJ$3*(AJ117-AJ116)/$P116</f>
        <v>0.22166423932513479</v>
      </c>
      <c r="AY117" s="75">
        <f t="shared" ref="AY117" si="644">+AK$3*(AK117-AK116)/$P116</f>
        <v>0.7047089189940271</v>
      </c>
      <c r="AZ117" s="75">
        <f t="shared" ref="AZ117" si="645">+AL$3*(AL117-AL116)/$P116</f>
        <v>0.16498098583653409</v>
      </c>
      <c r="BA117" s="75">
        <f t="shared" ref="BA117" si="646">+AM$3*(AM117-AM116)/$P116</f>
        <v>8.5352531227441533E-2</v>
      </c>
      <c r="BB117" s="75">
        <f t="shared" ref="BB117" si="647">+AN$3*(AN117-AN116)/$P116</f>
        <v>0.1676083740756879</v>
      </c>
      <c r="BC117" s="75">
        <f t="shared" ref="BC117" si="648">+AO$3*(AO117-AO116)/$P116</f>
        <v>0.2565122339444959</v>
      </c>
      <c r="BD117" s="75">
        <f t="shared" ref="BD117" si="649">+AP$3*(AP117-AP116)/$P116</f>
        <v>0.12373856169248863</v>
      </c>
      <c r="BF117" s="57">
        <f t="shared" ref="BF117" si="650">+R117-AS117</f>
        <v>0.3317363432727703</v>
      </c>
      <c r="BG117" s="57">
        <f t="shared" ref="BG117" si="651">+S117-AT117</f>
        <v>4.4051708463908566E-3</v>
      </c>
      <c r="BH117" s="57">
        <f t="shared" ref="BH117" si="652">+T117-AU117</f>
        <v>2.5181391668181063E-2</v>
      </c>
      <c r="BI117" s="57">
        <f t="shared" ref="BI117" si="653">+U117-AV117</f>
        <v>-2.4288177799540511E-2</v>
      </c>
      <c r="BJ117" s="57">
        <f t="shared" ref="BJ117" si="654">+V117-AW117</f>
        <v>-7.9603578350416301E-2</v>
      </c>
      <c r="BK117" s="57">
        <f t="shared" ref="BK117" si="655">+W117-AX117</f>
        <v>-0.10688020111751344</v>
      </c>
      <c r="BL117" s="57">
        <f t="shared" ref="BL117" si="656">+X117-AY117</f>
        <v>-0.19538443943095563</v>
      </c>
      <c r="BM117" s="57">
        <f t="shared" ref="BM117" si="657">+Y117-AZ117</f>
        <v>2.0025866392651859E-2</v>
      </c>
      <c r="BN117" s="57">
        <f t="shared" ref="BN117" si="658">+Z117-BA117</f>
        <v>-1.86155862751506E-2</v>
      </c>
      <c r="BO117" s="57">
        <f t="shared" ref="BO117" si="659">+AA117-BB117</f>
        <v>-0.10695725442312704</v>
      </c>
      <c r="BP117" s="57">
        <f t="shared" ref="BP117" si="660">+AB117-BC117</f>
        <v>-0.10742876771354246</v>
      </c>
      <c r="BQ117" s="57">
        <f t="shared" ref="BQ117" si="661">+AC117-BD117</f>
        <v>-4.0583227588809986E-2</v>
      </c>
      <c r="BR117" s="57">
        <f t="shared" ref="BR117" si="662">+SUM(BF117:BQ117)</f>
        <v>-0.29839246051906193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2:BR1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3:BR1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4:BR1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5:BR1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6:BR1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7:BR1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4</v>
      </c>
    </row>
    <row r="3" spans="2:9" x14ac:dyDescent="0.25">
      <c r="B3" s="69" t="s">
        <v>142</v>
      </c>
      <c r="C3" s="69">
        <f>+YEAR(MAX('Indice PondENGHO'!A3:A5001))</f>
        <v>2026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4</v>
      </c>
      <c r="C6">
        <f>+C3-1</f>
        <v>2025</v>
      </c>
      <c r="D6" s="66">
        <f t="shared" ref="D6" si="1">+DATE(C6,B6,1)</f>
        <v>45748</v>
      </c>
      <c r="E6" s="3">
        <f>+VLOOKUP(auxgr12!$D6,'Infla Mensual PondENGHO'!$A:$BP,E$3,FALSE)</f>
        <v>2.8504308700224357E-2</v>
      </c>
      <c r="F6" s="3">
        <f>+VLOOKUP(auxgr12!$D6,'Infla Mensual PondENGHO'!$A:$BP,F$3,FALSE)</f>
        <v>2.8020849967455463E-2</v>
      </c>
      <c r="G6" s="3">
        <f>+VLOOKUP(auxgr12!$D6,'Infla Mensual PondENGHO'!$A:$BP,G$3,FALSE)</f>
        <v>2.7920156390233597E-2</v>
      </c>
      <c r="H6" s="3">
        <f>+VLOOKUP(auxgr12!$D6,'Infla Mensual PondENGHO'!$A:$BP,H$3,FALSE)</f>
        <v>2.7676350255949611E-2</v>
      </c>
      <c r="I6" s="3">
        <f>+VLOOKUP(auxgr12!$D6,'Infla Mensual PondENGHO'!$A:$BP,I$3,FALSE)</f>
        <v>2.7452917023244927E-2</v>
      </c>
    </row>
    <row r="7" spans="2:9" x14ac:dyDescent="0.25">
      <c r="B7">
        <f>+C2+1</f>
        <v>5</v>
      </c>
      <c r="C7">
        <f>+C3-1</f>
        <v>2025</v>
      </c>
      <c r="D7" s="66">
        <f>+DATE(C7,B7,1)</f>
        <v>45778</v>
      </c>
      <c r="E7" s="3">
        <f>+VLOOKUP(auxgr12!$D7,'Infla Mensual PondENGHO'!$A:$BP,E$3,FALSE)</f>
        <v>1.2751313421927479E-2</v>
      </c>
      <c r="F7" s="3">
        <f>+VLOOKUP(auxgr12!$D7,'Infla Mensual PondENGHO'!$A:$BP,F$3,FALSE)</f>
        <v>1.3733404112175052E-2</v>
      </c>
      <c r="G7" s="3">
        <f>+VLOOKUP(auxgr12!$D7,'Infla Mensual PondENGHO'!$A:$BP,G$3,FALSE)</f>
        <v>1.4599080955532528E-2</v>
      </c>
      <c r="H7" s="3">
        <f>+VLOOKUP(auxgr12!$D7,'Infla Mensual PondENGHO'!$A:$BP,H$3,FALSE)</f>
        <v>1.5163439517204891E-2</v>
      </c>
      <c r="I7" s="3">
        <f>+VLOOKUP(auxgr12!$D7,'Infla Mensual PondENGHO'!$A:$BP,I$3,FALSE)</f>
        <v>1.6435099364626282E-2</v>
      </c>
    </row>
    <row r="8" spans="2:9" x14ac:dyDescent="0.25">
      <c r="B8">
        <f t="shared" ref="B8:B15" si="2">+IF(B7=12,1,+B7+1)</f>
        <v>6</v>
      </c>
      <c r="C8">
        <f t="shared" ref="C8:C15" si="3">+IF(B8=1,+C7+1,C7)</f>
        <v>2025</v>
      </c>
      <c r="D8" s="66">
        <f t="shared" ref="D8:D18" si="4">+DATE(C8,B8,1)</f>
        <v>45809</v>
      </c>
      <c r="E8" s="3">
        <f>+VLOOKUP(auxgr12!$D8,'Infla Mensual PondENGHO'!$A:$BP,E$3,FALSE)</f>
        <v>1.2950143399720782E-2</v>
      </c>
      <c r="F8" s="3">
        <f>+VLOOKUP(auxgr12!$D8,'Infla Mensual PondENGHO'!$A:$BP,F$3,FALSE)</f>
        <v>1.4541447415141295E-2</v>
      </c>
      <c r="G8" s="3">
        <f>+VLOOKUP(auxgr12!$D8,'Infla Mensual PondENGHO'!$A:$BP,G$3,FALSE)</f>
        <v>1.5219308921756269E-2</v>
      </c>
      <c r="H8" s="3">
        <f>+VLOOKUP(auxgr12!$D8,'Infla Mensual PondENGHO'!$A:$BP,H$3,FALSE)</f>
        <v>1.6314289096683643E-2</v>
      </c>
      <c r="I8" s="3">
        <f>+VLOOKUP(auxgr12!$D8,'Infla Mensual PondENGHO'!$A:$BP,I$3,FALSE)</f>
        <v>1.8209352879243301E-2</v>
      </c>
    </row>
    <row r="9" spans="2:9" x14ac:dyDescent="0.25">
      <c r="B9">
        <f t="shared" si="2"/>
        <v>7</v>
      </c>
      <c r="C9">
        <f t="shared" si="3"/>
        <v>2025</v>
      </c>
      <c r="D9" s="66">
        <f t="shared" si="4"/>
        <v>45839</v>
      </c>
      <c r="E9" s="3">
        <f>+VLOOKUP(auxgr12!$D9,'Infla Mensual PondENGHO'!$A:$BP,E$3,FALSE)</f>
        <v>1.803644664052495E-2</v>
      </c>
      <c r="F9" s="3">
        <f>+VLOOKUP(auxgr12!$D9,'Infla Mensual PondENGHO'!$A:$BP,F$3,FALSE)</f>
        <v>1.856971382087691E-2</v>
      </c>
      <c r="G9" s="3">
        <f>+VLOOKUP(auxgr12!$D9,'Infla Mensual PondENGHO'!$A:$BP,G$3,FALSE)</f>
        <v>1.8732068346340558E-2</v>
      </c>
      <c r="H9" s="3">
        <f>+VLOOKUP(auxgr12!$D9,'Infla Mensual PondENGHO'!$A:$BP,H$3,FALSE)</f>
        <v>1.9287987231903614E-2</v>
      </c>
      <c r="I9" s="3">
        <f>+VLOOKUP(auxgr12!$D9,'Infla Mensual PondENGHO'!$A:$BP,I$3,FALSE)</f>
        <v>1.9805482283514531E-2</v>
      </c>
    </row>
    <row r="10" spans="2:9" x14ac:dyDescent="0.25">
      <c r="B10">
        <f t="shared" si="2"/>
        <v>8</v>
      </c>
      <c r="C10">
        <f t="shared" si="3"/>
        <v>2025</v>
      </c>
      <c r="D10" s="66">
        <f t="shared" si="4"/>
        <v>45870</v>
      </c>
      <c r="E10" s="3">
        <f>+VLOOKUP(auxgr12!$D10,'Infla Mensual PondENGHO'!$A:$BP,E$3,FALSE)</f>
        <v>1.7303095323675466E-2</v>
      </c>
      <c r="F10" s="3">
        <f>+VLOOKUP(auxgr12!$D10,'Infla Mensual PondENGHO'!$A:$BP,F$3,FALSE)</f>
        <v>1.8475699510283272E-2</v>
      </c>
      <c r="G10" s="3">
        <f>+VLOOKUP(auxgr12!$D10,'Infla Mensual PondENGHO'!$A:$BP,G$3,FALSE)</f>
        <v>1.8536726191060948E-2</v>
      </c>
      <c r="H10" s="3">
        <f>+VLOOKUP(auxgr12!$D10,'Infla Mensual PondENGHO'!$A:$BP,H$3,FALSE)</f>
        <v>1.9263572562809195E-2</v>
      </c>
      <c r="I10" s="3">
        <f>+VLOOKUP(auxgr12!$D10,'Infla Mensual PondENGHO'!$A:$BP,I$3,FALSE)</f>
        <v>1.9529831860293001E-2</v>
      </c>
    </row>
    <row r="11" spans="2:9" x14ac:dyDescent="0.25">
      <c r="B11">
        <f t="shared" si="2"/>
        <v>9</v>
      </c>
      <c r="C11">
        <f t="shared" si="3"/>
        <v>2025</v>
      </c>
      <c r="D11" s="66">
        <f t="shared" si="4"/>
        <v>45901</v>
      </c>
      <c r="E11" s="3">
        <f>+VLOOKUP(auxgr12!$D11,'Infla Mensual PondENGHO'!$A:$BP,E$3,FALSE)</f>
        <v>2.0373502502535779E-2</v>
      </c>
      <c r="F11" s="3">
        <f>+VLOOKUP(auxgr12!$D11,'Infla Mensual PondENGHO'!$A:$BP,F$3,FALSE)</f>
        <v>2.0784270904638857E-2</v>
      </c>
      <c r="G11" s="3">
        <f>+VLOOKUP(auxgr12!$D11,'Infla Mensual PondENGHO'!$A:$BP,G$3,FALSE)</f>
        <v>2.0891709320997265E-2</v>
      </c>
      <c r="H11" s="3">
        <f>+VLOOKUP(auxgr12!$D11,'Infla Mensual PondENGHO'!$A:$BP,H$3,FALSE)</f>
        <v>2.1056557796722997E-2</v>
      </c>
      <c r="I11" s="3">
        <f>+VLOOKUP(auxgr12!$D11,'Infla Mensual PondENGHO'!$A:$BP,I$3,FALSE)</f>
        <v>2.1050594042087312E-2</v>
      </c>
    </row>
    <row r="12" spans="2:9" x14ac:dyDescent="0.25">
      <c r="B12">
        <f t="shared" si="2"/>
        <v>10</v>
      </c>
      <c r="C12">
        <f t="shared" si="3"/>
        <v>2025</v>
      </c>
      <c r="D12" s="66">
        <f t="shared" si="4"/>
        <v>45931</v>
      </c>
      <c r="E12" s="3">
        <f>+VLOOKUP(auxgr12!$D12,'Infla Mensual PondENGHO'!$A:$BP,E$3,FALSE)</f>
        <v>2.312266576693256E-2</v>
      </c>
      <c r="F12" s="3">
        <f>+VLOOKUP(auxgr12!$D12,'Infla Mensual PondENGHO'!$A:$BP,F$3,FALSE)</f>
        <v>2.34032582024577E-2</v>
      </c>
      <c r="G12" s="3">
        <f>+VLOOKUP(auxgr12!$D12,'Infla Mensual PondENGHO'!$A:$BP,G$3,FALSE)</f>
        <v>2.3415086838504795E-2</v>
      </c>
      <c r="H12" s="3">
        <f>+VLOOKUP(auxgr12!$D12,'Infla Mensual PondENGHO'!$A:$BP,H$3,FALSE)</f>
        <v>2.3532995768112963E-2</v>
      </c>
      <c r="I12" s="3">
        <f>+VLOOKUP(auxgr12!$D12,'Infla Mensual PondENGHO'!$A:$BP,I$3,FALSE)</f>
        <v>2.3412916233022996E-2</v>
      </c>
    </row>
    <row r="13" spans="2:9" x14ac:dyDescent="0.25">
      <c r="B13">
        <f t="shared" si="2"/>
        <v>11</v>
      </c>
      <c r="C13">
        <f t="shared" si="3"/>
        <v>2025</v>
      </c>
      <c r="D13" s="66">
        <f t="shared" si="4"/>
        <v>45962</v>
      </c>
      <c r="E13" s="3">
        <f>+VLOOKUP(auxgr12!$D13,'Infla Mensual PondENGHO'!$A:$BP,E$3,FALSE)</f>
        <v>2.4974389921325058E-2</v>
      </c>
      <c r="F13" s="3">
        <f>+VLOOKUP(auxgr12!$D13,'Infla Mensual PondENGHO'!$A:$BP,F$3,FALSE)</f>
        <v>2.489415958118002E-2</v>
      </c>
      <c r="G13" s="3">
        <f>+VLOOKUP(auxgr12!$D13,'Infla Mensual PondENGHO'!$A:$BP,G$3,FALSE)</f>
        <v>2.4852827280616552E-2</v>
      </c>
      <c r="H13" s="3">
        <f>+VLOOKUP(auxgr12!$D13,'Infla Mensual PondENGHO'!$A:$BP,H$3,FALSE)</f>
        <v>2.4748870872465689E-2</v>
      </c>
      <c r="I13" s="3">
        <f>+VLOOKUP(auxgr12!$D13,'Infla Mensual PondENGHO'!$A:$BP,I$3,FALSE)</f>
        <v>2.4563295754381542E-2</v>
      </c>
    </row>
    <row r="14" spans="2:9" x14ac:dyDescent="0.25">
      <c r="B14">
        <f t="shared" si="2"/>
        <v>12</v>
      </c>
      <c r="C14">
        <f t="shared" si="3"/>
        <v>2025</v>
      </c>
      <c r="D14" s="66">
        <f t="shared" si="4"/>
        <v>45992</v>
      </c>
      <c r="E14" s="3">
        <f>+VLOOKUP(auxgr12!$D14,'Infla Mensual PondENGHO'!$A:$BP,E$3,FALSE)</f>
        <v>2.9231360334402323E-2</v>
      </c>
      <c r="F14" s="3">
        <f>+VLOOKUP(auxgr12!$D14,'Infla Mensual PondENGHO'!$A:$BP,F$3,FALSE)</f>
        <v>2.8808734356978949E-2</v>
      </c>
      <c r="G14" s="3">
        <f>+VLOOKUP(auxgr12!$D14,'Infla Mensual PondENGHO'!$A:$BP,G$3,FALSE)</f>
        <v>2.8292014605382887E-2</v>
      </c>
      <c r="H14" s="3">
        <f>+VLOOKUP(auxgr12!$D14,'Infla Mensual PondENGHO'!$A:$BP,H$3,FALSE)</f>
        <v>2.8313516715476661E-2</v>
      </c>
      <c r="I14" s="3">
        <f>+VLOOKUP(auxgr12!$D14,'Infla Mensual PondENGHO'!$A:$BP,I$3,FALSE)</f>
        <v>2.7861004716862148E-2</v>
      </c>
    </row>
    <row r="15" spans="2:9" x14ac:dyDescent="0.25">
      <c r="B15">
        <f t="shared" si="2"/>
        <v>1</v>
      </c>
      <c r="C15">
        <f t="shared" si="3"/>
        <v>2026</v>
      </c>
      <c r="D15" s="66">
        <f t="shared" si="4"/>
        <v>46023</v>
      </c>
      <c r="E15" s="3">
        <f>+VLOOKUP(auxgr12!$D15,'Infla Mensual PondENGHO'!$A:$BP,E$3,FALSE)</f>
        <v>3.2018697348702219E-2</v>
      </c>
      <c r="F15" s="3">
        <f>+VLOOKUP(auxgr12!$D15,'Infla Mensual PondENGHO'!$A:$BP,F$3,FALSE)</f>
        <v>3.0184803261636306E-2</v>
      </c>
      <c r="G15" s="3">
        <f>+VLOOKUP(auxgr12!$D15,'Infla Mensual PondENGHO'!$A:$BP,G$3,FALSE)</f>
        <v>2.9644033619464327E-2</v>
      </c>
      <c r="H15" s="3">
        <f>+VLOOKUP(auxgr12!$D15,'Infla Mensual PondENGHO'!$A:$BP,H$3,FALSE)</f>
        <v>2.8496842715682646E-2</v>
      </c>
      <c r="I15" s="3">
        <f>+VLOOKUP(auxgr12!$D15,'Infla Mensual PondENGHO'!$A:$BP,I$3,FALSE)</f>
        <v>2.7163190275482085E-2</v>
      </c>
    </row>
    <row r="16" spans="2:9" x14ac:dyDescent="0.25">
      <c r="B16">
        <f>+IF(B15=12,1,+B15+1)</f>
        <v>2</v>
      </c>
      <c r="C16">
        <f t="shared" ref="C16" si="5">+IF(B16=1,+C15+1,C15)</f>
        <v>2026</v>
      </c>
      <c r="D16" s="66">
        <f t="shared" si="4"/>
        <v>46054</v>
      </c>
      <c r="E16" s="3">
        <f>+VLOOKUP(auxgr12!$D16,'Infla Mensual PondENGHO'!$A:$BP,E$3,FALSE)</f>
        <v>3.1290464977332455E-2</v>
      </c>
      <c r="F16" s="3">
        <f>+VLOOKUP(auxgr12!$D16,'Infla Mensual PondENGHO'!$A:$BP,F$3,FALSE)</f>
        <v>3.0192658253989535E-2</v>
      </c>
      <c r="G16" s="3">
        <f>+VLOOKUP(auxgr12!$D16,'Infla Mensual PondENGHO'!$A:$BP,G$3,FALSE)</f>
        <v>2.9613529374970637E-2</v>
      </c>
      <c r="H16" s="3">
        <f>+VLOOKUP(auxgr12!$D16,'Infla Mensual PondENGHO'!$A:$BP,H$3,FALSE)</f>
        <v>2.8686125696586684E-2</v>
      </c>
      <c r="I16" s="3">
        <f>+VLOOKUP(auxgr12!$D16,'Infla Mensual PondENGHO'!$A:$BP,I$3,FALSE)</f>
        <v>2.8173342837580106E-2</v>
      </c>
    </row>
    <row r="17" spans="2:11" x14ac:dyDescent="0.25">
      <c r="B17">
        <f t="shared" ref="B17:B18" si="6">+IF(B16=12,1,+B16+1)</f>
        <v>3</v>
      </c>
      <c r="C17">
        <f t="shared" ref="C17:C18" si="7">+IF(B17=1,+C16+1,C16)</f>
        <v>2026</v>
      </c>
      <c r="D17" s="66">
        <f t="shared" si="4"/>
        <v>46082</v>
      </c>
      <c r="E17" s="3">
        <f>+VLOOKUP(auxgr12!$D17,'Infla Mensual PondENGHO'!$A:$BP,E$3,FALSE)</f>
        <v>3.4687104392262524E-2</v>
      </c>
      <c r="F17" s="3">
        <f>+VLOOKUP(auxgr12!$D17,'Infla Mensual PondENGHO'!$A:$BP,F$3,FALSE)</f>
        <v>3.422480242596615E-2</v>
      </c>
      <c r="G17" s="3">
        <f>+VLOOKUP(auxgr12!$D17,'Infla Mensual PondENGHO'!$A:$BP,G$3,FALSE)</f>
        <v>3.3799107064210743E-2</v>
      </c>
      <c r="H17" s="3">
        <f>+VLOOKUP(auxgr12!$D17,'Infla Mensual PondENGHO'!$A:$BP,H$3,FALSE)</f>
        <v>3.3596880145612129E-2</v>
      </c>
      <c r="I17" s="3">
        <f>+VLOOKUP(auxgr12!$D17,'Infla Mensual PondENGHO'!$A:$BP,I$3,FALSE)</f>
        <v>3.3034887479768793E-2</v>
      </c>
    </row>
    <row r="18" spans="2:11" x14ac:dyDescent="0.25">
      <c r="B18">
        <f t="shared" si="6"/>
        <v>4</v>
      </c>
      <c r="C18">
        <f t="shared" si="7"/>
        <v>2026</v>
      </c>
      <c r="D18" s="66">
        <f t="shared" si="4"/>
        <v>46113</v>
      </c>
      <c r="E18" s="3">
        <f>+VLOOKUP(auxgr12!$D18,'Infla Mensual PondENGHO'!$A:$BP,E$3,FALSE)</f>
        <v>2.3706274555240769E-2</v>
      </c>
      <c r="F18" s="3">
        <f>+VLOOKUP(auxgr12!$D18,'Infla Mensual PondENGHO'!$A:$BP,F$3,FALSE)</f>
        <v>2.5002570324790474E-2</v>
      </c>
      <c r="G18" s="3">
        <f>+VLOOKUP(auxgr12!$D18,'Infla Mensual PondENGHO'!$A:$BP,G$3,FALSE)</f>
        <v>2.5256629303020084E-2</v>
      </c>
      <c r="H18" s="3">
        <f>+VLOOKUP(auxgr12!$D18,'Infla Mensual PondENGHO'!$A:$BP,H$3,FALSE)</f>
        <v>2.6198987645306149E-2</v>
      </c>
      <c r="I18" s="3">
        <f>+VLOOKUP(auxgr12!$D18,'Infla Mensual PondENGHO'!$A:$BP,I$3,FALSE)</f>
        <v>2.7062700154520059E-2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6"/>
  <sheetViews>
    <sheetView zoomScaleNormal="100" workbookViewId="0">
      <pane xSplit="3" ySplit="3" topLeftCell="BH107" activePane="bottomRight" state="frozen"/>
      <selection pane="topRight" activeCell="D1" sqref="D1"/>
      <selection pane="bottomLeft" activeCell="A4" sqref="A4"/>
      <selection pane="bottomRight" activeCell="A116" sqref="A116:XFD116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6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  <row r="111" spans="1:84" x14ac:dyDescent="0.25">
      <c r="A111" s="2">
        <f t="shared" ref="A111" si="99">+DATE(C111,B111,1)</f>
        <v>45962</v>
      </c>
      <c r="B111" s="1">
        <f t="shared" si="4"/>
        <v>11</v>
      </c>
      <c r="C111" s="1">
        <f t="shared" ref="C111" si="100">+IF(B111=1,C110+1,C110)</f>
        <v>2025</v>
      </c>
      <c r="D111" s="10">
        <f>+'Indice PondENGHO'!D109/'Indice PondENGHO'!D97-1</f>
        <v>0.31026816839413907</v>
      </c>
      <c r="E111" s="3">
        <f>+'Indice PondENGHO'!E109/'Indice PondENGHO'!E97-1</f>
        <v>0.24430326867777374</v>
      </c>
      <c r="F111" s="3">
        <f>+'Indice PondENGHO'!F109/'Indice PondENGHO'!F97-1</f>
        <v>0.16406538076502031</v>
      </c>
      <c r="G111" s="3">
        <f>+'Indice PondENGHO'!G109/'Indice PondENGHO'!G97-1</f>
        <v>0.43680057579198328</v>
      </c>
      <c r="H111" s="3">
        <f>+'Indice PondENGHO'!H109/'Indice PondENGHO'!H97-1</f>
        <v>0.17288498992752843</v>
      </c>
      <c r="I111" s="3">
        <f>+'Indice PondENGHO'!I109/'Indice PondENGHO'!I97-1</f>
        <v>0.27989235451890693</v>
      </c>
      <c r="J111" s="3">
        <f>+'Indice PondENGHO'!J109/'Indice PondENGHO'!J97-1</f>
        <v>0.29919550393793393</v>
      </c>
      <c r="K111" s="3">
        <f>+'Indice PondENGHO'!K109/'Indice PondENGHO'!K97-1</f>
        <v>0.36751722977347834</v>
      </c>
      <c r="L111" s="3">
        <f>+'Indice PondENGHO'!L109/'Indice PondENGHO'!L97-1</f>
        <v>0.30114889340171613</v>
      </c>
      <c r="M111" s="3">
        <f>+'Indice PondENGHO'!M109/'Indice PondENGHO'!M97-1</f>
        <v>0.5675483201981677</v>
      </c>
      <c r="N111" s="3">
        <f>+'Indice PondENGHO'!N109/'Indice PondENGHO'!N97-1</f>
        <v>0.43979709782635967</v>
      </c>
      <c r="O111" s="11">
        <f>+'Indice PondENGHO'!O109/'Indice PondENGHO'!O97-1</f>
        <v>0.311952560448016</v>
      </c>
      <c r="P111" s="10">
        <f>+'Indice PondENGHO'!P109/'Indice PondENGHO'!P97-1</f>
        <v>0.31082538604247634</v>
      </c>
      <c r="Q111" s="3">
        <f>+'Indice PondENGHO'!Q109/'Indice PondENGHO'!Q97-1</f>
        <v>0.24761171257846559</v>
      </c>
      <c r="R111" s="3">
        <f>+'Indice PondENGHO'!R109/'Indice PondENGHO'!R97-1</f>
        <v>0.16151072367141195</v>
      </c>
      <c r="S111" s="3">
        <f>+'Indice PondENGHO'!S109/'Indice PondENGHO'!S97-1</f>
        <v>0.44095839400314429</v>
      </c>
      <c r="T111" s="3">
        <f>+'Indice PondENGHO'!T109/'Indice PondENGHO'!T97-1</f>
        <v>0.17727808546671264</v>
      </c>
      <c r="U111" s="3">
        <f>+'Indice PondENGHO'!U109/'Indice PondENGHO'!U97-1</f>
        <v>0.28017092810444666</v>
      </c>
      <c r="V111" s="3">
        <f>+'Indice PondENGHO'!V109/'Indice PondENGHO'!V97-1</f>
        <v>0.29821107910838118</v>
      </c>
      <c r="W111" s="3">
        <f>+'Indice PondENGHO'!W109/'Indice PondENGHO'!W97-1</f>
        <v>0.37035304277903203</v>
      </c>
      <c r="X111" s="3">
        <f>+'Indice PondENGHO'!X109/'Indice PondENGHO'!X97-1</f>
        <v>0.30520323971354868</v>
      </c>
      <c r="Y111" s="3">
        <f>+'Indice PondENGHO'!Y109/'Indice PondENGHO'!Y97-1</f>
        <v>0.53023471375670361</v>
      </c>
      <c r="Z111" s="3">
        <f>+'Indice PondENGHO'!Z109/'Indice PondENGHO'!Z97-1</f>
        <v>0.4390689012773259</v>
      </c>
      <c r="AA111" s="11">
        <f>+'Indice PondENGHO'!AA109/'Indice PondENGHO'!AA97-1</f>
        <v>0.31981205286706005</v>
      </c>
      <c r="AB111" s="10">
        <f>+'Indice PondENGHO'!AB109/'Indice PondENGHO'!AB97-1</f>
        <v>0.31035022789106348</v>
      </c>
      <c r="AC111" s="3">
        <f>+'Indice PondENGHO'!AC109/'Indice PondENGHO'!AC97-1</f>
        <v>0.24849115591737436</v>
      </c>
      <c r="AD111" s="3">
        <f>+'Indice PondENGHO'!AD109/'Indice PondENGHO'!AD97-1</f>
        <v>0.16003587034280709</v>
      </c>
      <c r="AE111" s="3">
        <f>+'Indice PondENGHO'!AE109/'Indice PondENGHO'!AE97-1</f>
        <v>0.4473948390176834</v>
      </c>
      <c r="AF111" s="3">
        <f>+'Indice PondENGHO'!AF109/'Indice PondENGHO'!AF97-1</f>
        <v>0.18017120560371525</v>
      </c>
      <c r="AG111" s="3">
        <f>+'Indice PondENGHO'!AG109/'Indice PondENGHO'!AG97-1</f>
        <v>0.28151737917577968</v>
      </c>
      <c r="AH111" s="3">
        <f>+'Indice PondENGHO'!AH109/'Indice PondENGHO'!AH97-1</f>
        <v>0.29691655357515412</v>
      </c>
      <c r="AI111" s="3">
        <f>+'Indice PondENGHO'!AI109/'Indice PondENGHO'!AI97-1</f>
        <v>0.37167223527670212</v>
      </c>
      <c r="AJ111" s="3">
        <f>+'Indice PondENGHO'!AJ109/'Indice PondENGHO'!AJ97-1</f>
        <v>0.30749307659591807</v>
      </c>
      <c r="AK111" s="3">
        <f>+'Indice PondENGHO'!AK109/'Indice PondENGHO'!AK97-1</f>
        <v>0.52469933812442049</v>
      </c>
      <c r="AL111" s="3">
        <f>+'Indice PondENGHO'!AL109/'Indice PondENGHO'!AL97-1</f>
        <v>0.44049250856199618</v>
      </c>
      <c r="AM111" s="11">
        <f>+'Indice PondENGHO'!AM109/'Indice PondENGHO'!AM97-1</f>
        <v>0.3229145778369209</v>
      </c>
      <c r="AN111" s="10">
        <f>+'Indice PondENGHO'!AN109/'Indice PondENGHO'!AN97-1</f>
        <v>0.30972740736032578</v>
      </c>
      <c r="AO111" s="3">
        <f>+'Indice PondENGHO'!AO109/'Indice PondENGHO'!AO97-1</f>
        <v>0.25006331039500251</v>
      </c>
      <c r="AP111" s="3">
        <f>+'Indice PondENGHO'!AP109/'Indice PondENGHO'!AP97-1</f>
        <v>0.15978372602029367</v>
      </c>
      <c r="AQ111" s="3">
        <f>+'Indice PondENGHO'!AQ109/'Indice PondENGHO'!AQ97-1</f>
        <v>0.45110726735514839</v>
      </c>
      <c r="AR111" s="3">
        <f>+'Indice PondENGHO'!AR109/'Indice PondENGHO'!AR97-1</f>
        <v>0.18116146739965244</v>
      </c>
      <c r="AS111" s="3">
        <f>+'Indice PondENGHO'!AS109/'Indice PondENGHO'!AS97-1</f>
        <v>0.28255596226492385</v>
      </c>
      <c r="AT111" s="3">
        <f>+'Indice PondENGHO'!AT109/'Indice PondENGHO'!AT97-1</f>
        <v>0.29794984665264068</v>
      </c>
      <c r="AU111" s="3">
        <f>+'Indice PondENGHO'!AU109/'Indice PondENGHO'!AU97-1</f>
        <v>0.37244975124378099</v>
      </c>
      <c r="AV111" s="3">
        <f>+'Indice PondENGHO'!AV109/'Indice PondENGHO'!AV97-1</f>
        <v>0.30728147358788993</v>
      </c>
      <c r="AW111" s="3">
        <f>+'Indice PondENGHO'!AW109/'Indice PondENGHO'!AW97-1</f>
        <v>0.5291168427619688</v>
      </c>
      <c r="AX111" s="3">
        <f>+'Indice PondENGHO'!AX109/'Indice PondENGHO'!AX97-1</f>
        <v>0.44117276768863367</v>
      </c>
      <c r="AY111" s="11">
        <f>+'Indice PondENGHO'!AY109/'Indice PondENGHO'!AY97-1</f>
        <v>0.32554753904258349</v>
      </c>
      <c r="AZ111" s="10">
        <f>+'Indice PondENGHO'!AZ109/'Indice PondENGHO'!AZ97-1</f>
        <v>0.31011836714449892</v>
      </c>
      <c r="BA111" s="3">
        <f>+'Indice PondENGHO'!BA109/'Indice PondENGHO'!BA97-1</f>
        <v>0.25233938040533355</v>
      </c>
      <c r="BB111" s="3">
        <f>+'Indice PondENGHO'!BB109/'Indice PondENGHO'!BB97-1</f>
        <v>0.15872714373918262</v>
      </c>
      <c r="BC111" s="3">
        <f>+'Indice PondENGHO'!BC109/'Indice PondENGHO'!BC97-1</f>
        <v>0.45133605686458966</v>
      </c>
      <c r="BD111" s="3">
        <f>+'Indice PondENGHO'!BD109/'Indice PondENGHO'!BD97-1</f>
        <v>0.18432830331259131</v>
      </c>
      <c r="BE111" s="3">
        <f>+'Indice PondENGHO'!BE109/'Indice PondENGHO'!BE97-1</f>
        <v>0.28380201157840279</v>
      </c>
      <c r="BF111" s="3">
        <f>+'Indice PondENGHO'!BF109/'Indice PondENGHO'!BF97-1</f>
        <v>0.29885572040736741</v>
      </c>
      <c r="BG111" s="3">
        <f>+'Indice PondENGHO'!BG109/'Indice PondENGHO'!BG97-1</f>
        <v>0.37535738579267885</v>
      </c>
      <c r="BH111" s="3">
        <f>+'Indice PondENGHO'!BH109/'Indice PondENGHO'!BH97-1</f>
        <v>0.30835870736513638</v>
      </c>
      <c r="BI111" s="3">
        <f>+'Indice PondENGHO'!BI109/'Indice PondENGHO'!BI97-1</f>
        <v>0.50218132562894668</v>
      </c>
      <c r="BJ111" s="3">
        <f>+'Indice PondENGHO'!BJ109/'Indice PondENGHO'!BJ97-1</f>
        <v>0.44101950011374513</v>
      </c>
      <c r="BK111" s="11">
        <f>+'Indice PondENGHO'!BK109/'Indice PondENGHO'!BK97-1</f>
        <v>0.33243617137986115</v>
      </c>
      <c r="BL111" s="3">
        <f>+'Indice PondENGHO'!BL109/'Indice PondENGHO'!BL97-1</f>
        <v>0.30805659820114273</v>
      </c>
      <c r="BM111" s="3">
        <f>+'Indice PondENGHO'!BM109/'Indice PondENGHO'!BM97-1</f>
        <v>0.31175939596295943</v>
      </c>
      <c r="BN111" s="3">
        <f>+'Indice PondENGHO'!BN109/'Indice PondENGHO'!BN97-1</f>
        <v>0.31384083996810652</v>
      </c>
      <c r="BO111" s="3">
        <f>+'Indice PondENGHO'!BO109/'Indice PondENGHO'!BO97-1</f>
        <v>0.3150278754294058</v>
      </c>
      <c r="BP111" s="3">
        <f>+'Indice PondENGHO'!BP109/'Indice PondENGHO'!BP97-1</f>
        <v>0.31798296039608731</v>
      </c>
      <c r="BQ111" s="10">
        <f>+'Indice PondENGHO'!BQ109/'Indice PondENGHO'!BQ97-1</f>
        <v>0.31024173061645133</v>
      </c>
      <c r="BR111" s="3">
        <f>+'Indice PondENGHO'!BR109/'Indice PondENGHO'!BR97-1</f>
        <v>0.24926034544440756</v>
      </c>
      <c r="BS111" s="3">
        <f>+'Indice PondENGHO'!BS109/'Indice PondENGHO'!BS97-1</f>
        <v>0.16039144052893461</v>
      </c>
      <c r="BT111" s="3">
        <f>+'Indice PondENGHO'!BT109/'Indice PondENGHO'!BT97-1</f>
        <v>0.44715825937420384</v>
      </c>
      <c r="BU111" s="3">
        <f>+'Indice PondENGHO'!BU109/'Indice PondENGHO'!BU97-1</f>
        <v>0.18109960942682335</v>
      </c>
      <c r="BV111" s="3">
        <f>+'Indice PondENGHO'!BV109/'Indice PondENGHO'!BV97-1</f>
        <v>0.28239774929331873</v>
      </c>
      <c r="BW111" s="3">
        <f>+'Indice PondENGHO'!BW109/'Indice PondENGHO'!BW97-1</f>
        <v>0.29824986323896474</v>
      </c>
      <c r="BX111" s="3">
        <f>+'Indice PondENGHO'!BX109/'Indice PondENGHO'!BX97-1</f>
        <v>0.3722128510586451</v>
      </c>
      <c r="BY111" s="3">
        <f>+'Indice PondENGHO'!BY109/'Indice PondENGHO'!BY97-1</f>
        <v>0.30678121653491353</v>
      </c>
      <c r="BZ111" s="3">
        <f>+'Indice PondENGHO'!BZ109/'Indice PondENGHO'!BZ97-1</f>
        <v>0.51993064285719592</v>
      </c>
      <c r="CA111" s="3">
        <f>+'Indice PondENGHO'!CA109/'Indice PondENGHO'!CA97-1</f>
        <v>0.44062956697675526</v>
      </c>
      <c r="CB111" s="11">
        <f>+'Indice PondENGHO'!CB109/'Indice PondENGHO'!CB97-1</f>
        <v>0.32550869728276588</v>
      </c>
      <c r="CC111" s="3">
        <f>+'Indice PondENGHO'!CC109/'Indice PondENGHO'!CC97-1</f>
        <v>0.3144126654636008</v>
      </c>
      <c r="CD111" s="3">
        <f>+'Indice PondENGHO'!CD109/'Indice PondENGHO'!CD97-1</f>
        <v>0.3144126654636008</v>
      </c>
      <c r="CF111" s="3">
        <f t="shared" ref="CF111" si="101">+BL111-BP111</f>
        <v>-9.9263621949445824E-3</v>
      </c>
    </row>
    <row r="112" spans="1:84" x14ac:dyDescent="0.25">
      <c r="A112" s="2">
        <f t="shared" ref="A112" si="102">+DATE(C112,B112,1)</f>
        <v>45992</v>
      </c>
      <c r="B112" s="1">
        <f t="shared" si="4"/>
        <v>12</v>
      </c>
      <c r="C112" s="1">
        <f t="shared" ref="C112" si="103">+IF(B112=1,C111+1,C111)</f>
        <v>2025</v>
      </c>
      <c r="D112" s="10">
        <f>+'Indice PondENGHO'!D110/'Indice PondENGHO'!D98-1</f>
        <v>0.32437012821694555</v>
      </c>
      <c r="E112" s="3">
        <f>+'Indice PondENGHO'!E110/'Indice PondENGHO'!E98-1</f>
        <v>0.24791725154035538</v>
      </c>
      <c r="F112" s="3">
        <f>+'Indice PondENGHO'!F110/'Indice PondENGHO'!F98-1</f>
        <v>0.15634046690521752</v>
      </c>
      <c r="G112" s="3">
        <f>+'Indice PondENGHO'!G110/'Indice PondENGHO'!G98-1</f>
        <v>0.41432525464592973</v>
      </c>
      <c r="H112" s="3">
        <f>+'Indice PondENGHO'!H110/'Indice PondENGHO'!H98-1</f>
        <v>0.18329469364969908</v>
      </c>
      <c r="I112" s="3">
        <f>+'Indice PondENGHO'!I110/'Indice PondENGHO'!I98-1</f>
        <v>0.28011416450110294</v>
      </c>
      <c r="J112" s="3">
        <f>+'Indice PondENGHO'!J110/'Indice PondENGHO'!J98-1</f>
        <v>0.31613301218378531</v>
      </c>
      <c r="K112" s="3">
        <f>+'Indice PondENGHO'!K110/'Indice PondENGHO'!K98-1</f>
        <v>0.34255040701759376</v>
      </c>
      <c r="L112" s="3">
        <f>+'Indice PondENGHO'!L110/'Indice PondENGHO'!L98-1</f>
        <v>0.29969248992755948</v>
      </c>
      <c r="M112" s="3">
        <f>+'Indice PondENGHO'!M110/'Indice PondENGHO'!M98-1</f>
        <v>0.53737151461332</v>
      </c>
      <c r="N112" s="3">
        <f>+'Indice PondENGHO'!N110/'Indice PondENGHO'!N98-1</f>
        <v>0.42149359928690577</v>
      </c>
      <c r="O112" s="11">
        <f>+'Indice PondENGHO'!O110/'Indice PondENGHO'!O98-1</f>
        <v>0.31727591587748538</v>
      </c>
      <c r="P112" s="10">
        <f>+'Indice PondENGHO'!P110/'Indice PondENGHO'!P98-1</f>
        <v>0.32373053052393574</v>
      </c>
      <c r="Q112" s="3">
        <f>+'Indice PondENGHO'!Q110/'Indice PondENGHO'!Q98-1</f>
        <v>0.25147758652803653</v>
      </c>
      <c r="R112" s="3">
        <f>+'Indice PondENGHO'!R110/'Indice PondENGHO'!R98-1</f>
        <v>0.15498740409885281</v>
      </c>
      <c r="S112" s="3">
        <f>+'Indice PondENGHO'!S110/'Indice PondENGHO'!S98-1</f>
        <v>0.41667025155532333</v>
      </c>
      <c r="T112" s="3">
        <f>+'Indice PondENGHO'!T110/'Indice PondENGHO'!T98-1</f>
        <v>0.18901485861975065</v>
      </c>
      <c r="U112" s="3">
        <f>+'Indice PondENGHO'!U110/'Indice PondENGHO'!U98-1</f>
        <v>0.28033929930116641</v>
      </c>
      <c r="V112" s="3">
        <f>+'Indice PondENGHO'!V110/'Indice PondENGHO'!V98-1</f>
        <v>0.31784382137830369</v>
      </c>
      <c r="W112" s="3">
        <f>+'Indice PondENGHO'!W110/'Indice PondENGHO'!W98-1</f>
        <v>0.34683024599947876</v>
      </c>
      <c r="X112" s="3">
        <f>+'Indice PondENGHO'!X110/'Indice PondENGHO'!X98-1</f>
        <v>0.30415980152416355</v>
      </c>
      <c r="Y112" s="3">
        <f>+'Indice PondENGHO'!Y110/'Indice PondENGHO'!Y98-1</f>
        <v>0.50006270903180594</v>
      </c>
      <c r="Z112" s="3">
        <f>+'Indice PondENGHO'!Z110/'Indice PondENGHO'!Z98-1</f>
        <v>0.42042382501605591</v>
      </c>
      <c r="AA112" s="11">
        <f>+'Indice PondENGHO'!AA110/'Indice PondENGHO'!AA98-1</f>
        <v>0.32597232101518148</v>
      </c>
      <c r="AB112" s="10">
        <f>+'Indice PondENGHO'!AB110/'Indice PondENGHO'!AB98-1</f>
        <v>0.32265817310490763</v>
      </c>
      <c r="AC112" s="3">
        <f>+'Indice PondENGHO'!AC110/'Indice PondENGHO'!AC98-1</f>
        <v>0.25243626661859131</v>
      </c>
      <c r="AD112" s="3">
        <f>+'Indice PondENGHO'!AD110/'Indice PondENGHO'!AD98-1</f>
        <v>0.15404817821294947</v>
      </c>
      <c r="AE112" s="3">
        <f>+'Indice PondENGHO'!AE110/'Indice PondENGHO'!AE98-1</f>
        <v>0.4212780114018313</v>
      </c>
      <c r="AF112" s="3">
        <f>+'Indice PondENGHO'!AF110/'Indice PondENGHO'!AF98-1</f>
        <v>0.19185990315849688</v>
      </c>
      <c r="AG112" s="3">
        <f>+'Indice PondENGHO'!AG110/'Indice PondENGHO'!AG98-1</f>
        <v>0.28150295393402169</v>
      </c>
      <c r="AH112" s="3">
        <f>+'Indice PondENGHO'!AH110/'Indice PondENGHO'!AH98-1</f>
        <v>0.31785065578031024</v>
      </c>
      <c r="AI112" s="3">
        <f>+'Indice PondENGHO'!AI110/'Indice PondENGHO'!AI98-1</f>
        <v>0.34884887884390925</v>
      </c>
      <c r="AJ112" s="3">
        <f>+'Indice PondENGHO'!AJ110/'Indice PondENGHO'!AJ98-1</f>
        <v>0.30703446630079667</v>
      </c>
      <c r="AK112" s="3">
        <f>+'Indice PondENGHO'!AK110/'Indice PondENGHO'!AK98-1</f>
        <v>0.49458776375026536</v>
      </c>
      <c r="AL112" s="3">
        <f>+'Indice PondENGHO'!AL110/'Indice PondENGHO'!AL98-1</f>
        <v>0.42117344115156485</v>
      </c>
      <c r="AM112" s="11">
        <f>+'Indice PondENGHO'!AM110/'Indice PondENGHO'!AM98-1</f>
        <v>0.32928350177211896</v>
      </c>
      <c r="AN112" s="10">
        <f>+'Indice PondENGHO'!AN110/'Indice PondENGHO'!AN98-1</f>
        <v>0.32160690806150005</v>
      </c>
      <c r="AO112" s="3">
        <f>+'Indice PondENGHO'!AO110/'Indice PondENGHO'!AO98-1</f>
        <v>0.25373881398508202</v>
      </c>
      <c r="AP112" s="3">
        <f>+'Indice PondENGHO'!AP110/'Indice PondENGHO'!AP98-1</f>
        <v>0.15397852892270358</v>
      </c>
      <c r="AQ112" s="3">
        <f>+'Indice PondENGHO'!AQ110/'Indice PondENGHO'!AQ98-1</f>
        <v>0.42478955075911529</v>
      </c>
      <c r="AR112" s="3">
        <f>+'Indice PondENGHO'!AR110/'Indice PondENGHO'!AR98-1</f>
        <v>0.19278522313878943</v>
      </c>
      <c r="AS112" s="3">
        <f>+'Indice PondENGHO'!AS110/'Indice PondENGHO'!AS98-1</f>
        <v>0.28239487207212322</v>
      </c>
      <c r="AT112" s="3">
        <f>+'Indice PondENGHO'!AT110/'Indice PondENGHO'!AT98-1</f>
        <v>0.32083593346049</v>
      </c>
      <c r="AU112" s="3">
        <f>+'Indice PondENGHO'!AU110/'Indice PondENGHO'!AU98-1</f>
        <v>0.34982760954306902</v>
      </c>
      <c r="AV112" s="3">
        <f>+'Indice PondENGHO'!AV110/'Indice PondENGHO'!AV98-1</f>
        <v>0.30539709313585539</v>
      </c>
      <c r="AW112" s="3">
        <f>+'Indice PondENGHO'!AW110/'Indice PondENGHO'!AW98-1</f>
        <v>0.4997119524850675</v>
      </c>
      <c r="AX112" s="3">
        <f>+'Indice PondENGHO'!AX110/'Indice PondENGHO'!AX98-1</f>
        <v>0.42053895743121683</v>
      </c>
      <c r="AY112" s="11">
        <f>+'Indice PondENGHO'!AY110/'Indice PondENGHO'!AY98-1</f>
        <v>0.33252372012193043</v>
      </c>
      <c r="AZ112" s="10">
        <f>+'Indice PondENGHO'!AZ110/'Indice PondENGHO'!AZ98-1</f>
        <v>0.32093725649329241</v>
      </c>
      <c r="BA112" s="3">
        <f>+'Indice PondENGHO'!BA110/'Indice PondENGHO'!BA98-1</f>
        <v>0.25600391705221281</v>
      </c>
      <c r="BB112" s="3">
        <f>+'Indice PondENGHO'!BB110/'Indice PondENGHO'!BB98-1</f>
        <v>0.15334641680581651</v>
      </c>
      <c r="BC112" s="3">
        <f>+'Indice PondENGHO'!BC110/'Indice PondENGHO'!BC98-1</f>
        <v>0.42425748660240492</v>
      </c>
      <c r="BD112" s="3">
        <f>+'Indice PondENGHO'!BD110/'Indice PondENGHO'!BD98-1</f>
        <v>0.19713534936528232</v>
      </c>
      <c r="BE112" s="3">
        <f>+'Indice PondENGHO'!BE110/'Indice PondENGHO'!BE98-1</f>
        <v>0.28341882791712125</v>
      </c>
      <c r="BF112" s="3">
        <f>+'Indice PondENGHO'!BF110/'Indice PondENGHO'!BF98-1</f>
        <v>0.32377021512977522</v>
      </c>
      <c r="BG112" s="3">
        <f>+'Indice PondENGHO'!BG110/'Indice PondENGHO'!BG98-1</f>
        <v>0.3534481555688227</v>
      </c>
      <c r="BH112" s="3">
        <f>+'Indice PondENGHO'!BH110/'Indice PondENGHO'!BH98-1</f>
        <v>0.30410546291605023</v>
      </c>
      <c r="BI112" s="3">
        <f>+'Indice PondENGHO'!BI110/'Indice PondENGHO'!BI98-1</f>
        <v>0.47042464547811003</v>
      </c>
      <c r="BJ112" s="3">
        <f>+'Indice PondENGHO'!BJ110/'Indice PondENGHO'!BJ98-1</f>
        <v>0.41906545606923307</v>
      </c>
      <c r="BK112" s="11">
        <f>+'Indice PondENGHO'!BK110/'Indice PondENGHO'!BK98-1</f>
        <v>0.34102064895745077</v>
      </c>
      <c r="BL112" s="3">
        <f>+'Indice PondENGHO'!BL110/'Indice PondENGHO'!BL98-1</f>
        <v>0.31175964932757161</v>
      </c>
      <c r="BM112" s="3">
        <f>+'Indice PondENGHO'!BM110/'Indice PondENGHO'!BM98-1</f>
        <v>0.3144206668796381</v>
      </c>
      <c r="BN112" s="3">
        <f>+'Indice PondENGHO'!BN110/'Indice PondENGHO'!BN98-1</f>
        <v>0.31580889778602605</v>
      </c>
      <c r="BO112" s="3">
        <f>+'Indice PondENGHO'!BO110/'Indice PondENGHO'!BO98-1</f>
        <v>0.31680029430403711</v>
      </c>
      <c r="BP112" s="3">
        <f>+'Indice PondENGHO'!BP110/'Indice PondENGHO'!BP98-1</f>
        <v>0.3184564702955357</v>
      </c>
      <c r="BQ112" s="10">
        <f>+'Indice PondENGHO'!BQ110/'Indice PondENGHO'!BQ98-1</f>
        <v>0.32255415044421798</v>
      </c>
      <c r="BR112" s="3">
        <f>+'Indice PondENGHO'!BR110/'Indice PondENGHO'!BR98-1</f>
        <v>0.25300702509975692</v>
      </c>
      <c r="BS112" s="3">
        <f>+'Indice PondENGHO'!BS110/'Indice PondENGHO'!BS98-1</f>
        <v>0.1542963174421923</v>
      </c>
      <c r="BT112" s="3">
        <f>+'Indice PondENGHO'!BT110/'Indice PondENGHO'!BT98-1</f>
        <v>0.4214266894482912</v>
      </c>
      <c r="BU112" s="3">
        <f>+'Indice PondENGHO'!BU110/'Indice PondENGHO'!BU98-1</f>
        <v>0.19313008604258397</v>
      </c>
      <c r="BV112" s="3">
        <f>+'Indice PondENGHO'!BV110/'Indice PondENGHO'!BV98-1</f>
        <v>0.28224084533831273</v>
      </c>
      <c r="BW112" s="3">
        <f>+'Indice PondENGHO'!BW110/'Indice PondENGHO'!BW98-1</f>
        <v>0.32055572486327288</v>
      </c>
      <c r="BX112" s="3">
        <f>+'Indice PondENGHO'!BX110/'Indice PondENGHO'!BX98-1</f>
        <v>0.34933298674091384</v>
      </c>
      <c r="BY112" s="3">
        <f>+'Indice PondENGHO'!BY110/'Indice PondENGHO'!BY98-1</f>
        <v>0.30441142947453104</v>
      </c>
      <c r="BZ112" s="3">
        <f>+'Indice PondENGHO'!BZ110/'Indice PondENGHO'!BZ98-1</f>
        <v>0.48930573757820284</v>
      </c>
      <c r="CA112" s="3">
        <f>+'Indice PondENGHO'!CA110/'Indice PondENGHO'!CA98-1</f>
        <v>0.4201027865783411</v>
      </c>
      <c r="CB112" s="11">
        <f>+'Indice PondENGHO'!CB110/'Indice PondENGHO'!CB98-1</f>
        <v>0.3327014587854582</v>
      </c>
      <c r="CC112" s="3">
        <f>+'Indice PondENGHO'!CC110/'Indice PondENGHO'!CC98-1</f>
        <v>0.31617519088419743</v>
      </c>
      <c r="CD112" s="3">
        <f>+'Indice PondENGHO'!CD110/'Indice PondENGHO'!CD98-1</f>
        <v>0.31617519088419743</v>
      </c>
      <c r="CF112" s="3">
        <f t="shared" ref="CF112" si="104">+BL112-BP112</f>
        <v>-6.69682096796409E-3</v>
      </c>
    </row>
    <row r="113" spans="1:84" x14ac:dyDescent="0.25">
      <c r="A113" s="2">
        <f t="shared" ref="A113" si="105">+DATE(C113,B113,1)</f>
        <v>46023</v>
      </c>
      <c r="B113" s="1">
        <f t="shared" si="4"/>
        <v>1</v>
      </c>
      <c r="C113" s="1">
        <f t="shared" ref="C113" si="106">+IF(B113=1,C112+1,C112)</f>
        <v>2026</v>
      </c>
      <c r="D113" s="10">
        <f>+'Indice PondENGHO'!D111/'Indice PondENGHO'!D99-1</f>
        <v>0.35996699136974741</v>
      </c>
      <c r="E113" s="3">
        <f>+'Indice PondENGHO'!E111/'Indice PondENGHO'!E99-1</f>
        <v>0.23743679540088358</v>
      </c>
      <c r="F113" s="3">
        <f>+'Indice PondENGHO'!F111/'Indice PondENGHO'!F99-1</f>
        <v>0.15617681627920521</v>
      </c>
      <c r="G113" s="3">
        <f>+'Indice PondENGHO'!G111/'Indice PondENGHO'!G99-1</f>
        <v>0.40380261068855217</v>
      </c>
      <c r="H113" s="3">
        <f>+'Indice PondENGHO'!H111/'Indice PondENGHO'!H99-1</f>
        <v>0.18581746071802452</v>
      </c>
      <c r="I113" s="3">
        <f>+'Indice PondENGHO'!I111/'Indice PondENGHO'!I99-1</f>
        <v>0.28058132310285711</v>
      </c>
      <c r="J113" s="3">
        <f>+'Indice PondENGHO'!J111/'Indice PondENGHO'!J99-1</f>
        <v>0.3227809842883711</v>
      </c>
      <c r="K113" s="3">
        <f>+'Indice PondENGHO'!K111/'Indice PondENGHO'!K99-1</f>
        <v>0.359380877574909</v>
      </c>
      <c r="L113" s="3">
        <f>+'Indice PondENGHO'!L111/'Indice PondENGHO'!L99-1</f>
        <v>0.28453675071839069</v>
      </c>
      <c r="M113" s="3">
        <f>+'Indice PondENGHO'!M111/'Indice PondENGHO'!M99-1</f>
        <v>0.53648916657968115</v>
      </c>
      <c r="N113" s="3">
        <f>+'Indice PondENGHO'!N111/'Indice PondENGHO'!N99-1</f>
        <v>0.40258627423419924</v>
      </c>
      <c r="O113" s="11">
        <f>+'Indice PondENGHO'!O111/'Indice PondENGHO'!O99-1</f>
        <v>0.3222577927075414</v>
      </c>
      <c r="P113" s="10">
        <f>+'Indice PondENGHO'!P111/'Indice PondENGHO'!P99-1</f>
        <v>0.35975563155864854</v>
      </c>
      <c r="Q113" s="3">
        <f>+'Indice PondENGHO'!Q111/'Indice PondENGHO'!Q99-1</f>
        <v>0.24033112488350805</v>
      </c>
      <c r="R113" s="3">
        <f>+'Indice PondENGHO'!R111/'Indice PondENGHO'!R99-1</f>
        <v>0.15551861587396543</v>
      </c>
      <c r="S113" s="3">
        <f>+'Indice PondENGHO'!S111/'Indice PondENGHO'!S99-1</f>
        <v>0.40367849623077046</v>
      </c>
      <c r="T113" s="3">
        <f>+'Indice PondENGHO'!T111/'Indice PondENGHO'!T99-1</f>
        <v>0.19127359950815914</v>
      </c>
      <c r="U113" s="3">
        <f>+'Indice PondENGHO'!U111/'Indice PondENGHO'!U99-1</f>
        <v>0.28049610358049581</v>
      </c>
      <c r="V113" s="3">
        <f>+'Indice PondENGHO'!V111/'Indice PondENGHO'!V99-1</f>
        <v>0.32625079949415969</v>
      </c>
      <c r="W113" s="3">
        <f>+'Indice PondENGHO'!W111/'Indice PondENGHO'!W99-1</f>
        <v>0.36359817825379137</v>
      </c>
      <c r="X113" s="3">
        <f>+'Indice PondENGHO'!X111/'Indice PondENGHO'!X99-1</f>
        <v>0.28712786431552573</v>
      </c>
      <c r="Y113" s="3">
        <f>+'Indice PondENGHO'!Y111/'Indice PondENGHO'!Y99-1</f>
        <v>0.50188242799365956</v>
      </c>
      <c r="Z113" s="3">
        <f>+'Indice PondENGHO'!Z111/'Indice PondENGHO'!Z99-1</f>
        <v>0.40323346940019311</v>
      </c>
      <c r="AA113" s="11">
        <f>+'Indice PondENGHO'!AA111/'Indice PondENGHO'!AA99-1</f>
        <v>0.32988912875836784</v>
      </c>
      <c r="AB113" s="10">
        <f>+'Indice PondENGHO'!AB111/'Indice PondENGHO'!AB99-1</f>
        <v>0.35893925753979761</v>
      </c>
      <c r="AC113" s="3">
        <f>+'Indice PondENGHO'!AC111/'Indice PondENGHO'!AC99-1</f>
        <v>0.24192572699771731</v>
      </c>
      <c r="AD113" s="3">
        <f>+'Indice PondENGHO'!AD111/'Indice PondENGHO'!AD99-1</f>
        <v>0.15471675422861919</v>
      </c>
      <c r="AE113" s="3">
        <f>+'Indice PondENGHO'!AE111/'Indice PondENGHO'!AE99-1</f>
        <v>0.40554998147618027</v>
      </c>
      <c r="AF113" s="3">
        <f>+'Indice PondENGHO'!AF111/'Indice PondENGHO'!AF99-1</f>
        <v>0.19449111058850765</v>
      </c>
      <c r="AG113" s="3">
        <f>+'Indice PondENGHO'!AG111/'Indice PondENGHO'!AG99-1</f>
        <v>0.28201779655865389</v>
      </c>
      <c r="AH113" s="3">
        <f>+'Indice PondENGHO'!AH111/'Indice PondENGHO'!AH99-1</f>
        <v>0.32697878545523928</v>
      </c>
      <c r="AI113" s="3">
        <f>+'Indice PondENGHO'!AI111/'Indice PondENGHO'!AI99-1</f>
        <v>0.36567981197892951</v>
      </c>
      <c r="AJ113" s="3">
        <f>+'Indice PondENGHO'!AJ111/'Indice PondENGHO'!AJ99-1</f>
        <v>0.28904655667541501</v>
      </c>
      <c r="AK113" s="3">
        <f>+'Indice PondENGHO'!AK111/'Indice PondENGHO'!AK99-1</f>
        <v>0.4973365034702335</v>
      </c>
      <c r="AL113" s="3">
        <f>+'Indice PondENGHO'!AL111/'Indice PondENGHO'!AL99-1</f>
        <v>0.40507270660900629</v>
      </c>
      <c r="AM113" s="11">
        <f>+'Indice PondENGHO'!AM111/'Indice PondENGHO'!AM99-1</f>
        <v>0.33303054330282333</v>
      </c>
      <c r="AN113" s="10">
        <f>+'Indice PondENGHO'!AN111/'Indice PondENGHO'!AN99-1</f>
        <v>0.35782990560737504</v>
      </c>
      <c r="AO113" s="3">
        <f>+'Indice PondENGHO'!AO111/'Indice PondENGHO'!AO99-1</f>
        <v>0.24308917123894824</v>
      </c>
      <c r="AP113" s="3">
        <f>+'Indice PondENGHO'!AP111/'Indice PondENGHO'!AP99-1</f>
        <v>0.15564490079797588</v>
      </c>
      <c r="AQ113" s="3">
        <f>+'Indice PondENGHO'!AQ111/'Indice PondENGHO'!AQ99-1</f>
        <v>0.41041668653059182</v>
      </c>
      <c r="AR113" s="3">
        <f>+'Indice PondENGHO'!AR111/'Indice PondENGHO'!AR99-1</f>
        <v>0.19542902433113229</v>
      </c>
      <c r="AS113" s="3">
        <f>+'Indice PondENGHO'!AS111/'Indice PondENGHO'!AS99-1</f>
        <v>0.28173952693889048</v>
      </c>
      <c r="AT113" s="3">
        <f>+'Indice PondENGHO'!AT111/'Indice PondENGHO'!AT99-1</f>
        <v>0.33025365248560945</v>
      </c>
      <c r="AU113" s="3">
        <f>+'Indice PondENGHO'!AU111/'Indice PondENGHO'!AU99-1</f>
        <v>0.36689614967943229</v>
      </c>
      <c r="AV113" s="3">
        <f>+'Indice PondENGHO'!AV111/'Indice PondENGHO'!AV99-1</f>
        <v>0.28684385336163154</v>
      </c>
      <c r="AW113" s="3">
        <f>+'Indice PondENGHO'!AW111/'Indice PondENGHO'!AW99-1</f>
        <v>0.50227986011751202</v>
      </c>
      <c r="AX113" s="3">
        <f>+'Indice PondENGHO'!AX111/'Indice PondENGHO'!AX99-1</f>
        <v>0.40489572524755646</v>
      </c>
      <c r="AY113" s="11">
        <f>+'Indice PondENGHO'!AY111/'Indice PondENGHO'!AY99-1</f>
        <v>0.33585212494782768</v>
      </c>
      <c r="AZ113" s="10">
        <f>+'Indice PondENGHO'!AZ111/'Indice PondENGHO'!AZ99-1</f>
        <v>0.35739130445012179</v>
      </c>
      <c r="BA113" s="3">
        <f>+'Indice PondENGHO'!BA111/'Indice PondENGHO'!BA99-1</f>
        <v>0.24482545505420106</v>
      </c>
      <c r="BB113" s="3">
        <f>+'Indice PondENGHO'!BB111/'Indice PondENGHO'!BB99-1</f>
        <v>0.15600300246907906</v>
      </c>
      <c r="BC113" s="3">
        <f>+'Indice PondENGHO'!BC111/'Indice PondENGHO'!BC99-1</f>
        <v>0.41160145368296908</v>
      </c>
      <c r="BD113" s="3">
        <f>+'Indice PondENGHO'!BD111/'Indice PondENGHO'!BD99-1</f>
        <v>0.19936898942523329</v>
      </c>
      <c r="BE113" s="3">
        <f>+'Indice PondENGHO'!BE111/'Indice PondENGHO'!BE99-1</f>
        <v>0.28195242601565829</v>
      </c>
      <c r="BF113" s="3">
        <f>+'Indice PondENGHO'!BF111/'Indice PondENGHO'!BF99-1</f>
        <v>0.33279159710267447</v>
      </c>
      <c r="BG113" s="3">
        <f>+'Indice PondENGHO'!BG111/'Indice PondENGHO'!BG99-1</f>
        <v>0.3706836620099343</v>
      </c>
      <c r="BH113" s="3">
        <f>+'Indice PondENGHO'!BH111/'Indice PondENGHO'!BH99-1</f>
        <v>0.28480132577061812</v>
      </c>
      <c r="BI113" s="3">
        <f>+'Indice PondENGHO'!BI111/'Indice PondENGHO'!BI99-1</f>
        <v>0.47372867376839567</v>
      </c>
      <c r="BJ113" s="3">
        <f>+'Indice PondENGHO'!BJ111/'Indice PondENGHO'!BJ99-1</f>
        <v>0.4051020341571332</v>
      </c>
      <c r="BK113" s="11">
        <f>+'Indice PondENGHO'!BK111/'Indice PondENGHO'!BK99-1</f>
        <v>0.34250890955831448</v>
      </c>
      <c r="BL113" s="3">
        <f>+'Indice PondENGHO'!BL111/'Indice PondENGHO'!BL99-1</f>
        <v>0.32502974800203144</v>
      </c>
      <c r="BM113" s="3">
        <f>+'Indice PondENGHO'!BM111/'Indice PondENGHO'!BM99-1</f>
        <v>0.32516769415013003</v>
      </c>
      <c r="BN113" s="3">
        <f>+'Indice PondENGHO'!BN111/'Indice PondENGHO'!BN99-1</f>
        <v>0.32557634559753157</v>
      </c>
      <c r="BO113" s="3">
        <f>+'Indice PondENGHO'!BO111/'Indice PondENGHO'!BO99-1</f>
        <v>0.32486419917747056</v>
      </c>
      <c r="BP113" s="3">
        <f>+'Indice PondENGHO'!BP111/'Indice PondENGHO'!BP99-1</f>
        <v>0.32370708929020742</v>
      </c>
      <c r="BQ113" s="10">
        <f>+'Indice PondENGHO'!BQ111/'Indice PondENGHO'!BQ99-1</f>
        <v>0.35869220813586256</v>
      </c>
      <c r="BR113" s="3">
        <f>+'Indice PondENGHO'!BR111/'Indice PondENGHO'!BR99-1</f>
        <v>0.2421497084844737</v>
      </c>
      <c r="BS113" s="3">
        <f>+'Indice PondENGHO'!BS111/'Indice PondENGHO'!BS99-1</f>
        <v>0.15562789743180061</v>
      </c>
      <c r="BT113" s="3">
        <f>+'Indice PondENGHO'!BT111/'Indice PondENGHO'!BT99-1</f>
        <v>0.40805265452910544</v>
      </c>
      <c r="BU113" s="3">
        <f>+'Indice PondENGHO'!BU111/'Indice PondENGHO'!BU99-1</f>
        <v>0.19554130745687948</v>
      </c>
      <c r="BV113" s="3">
        <f>+'Indice PondENGHO'!BV111/'Indice PondENGHO'!BV99-1</f>
        <v>0.28163864070480438</v>
      </c>
      <c r="BW113" s="3">
        <f>+'Indice PondENGHO'!BW111/'Indice PondENGHO'!BW99-1</f>
        <v>0.32939603374916149</v>
      </c>
      <c r="BX113" s="3">
        <f>+'Indice PondENGHO'!BX111/'Indice PondENGHO'!BX99-1</f>
        <v>0.36632591286782112</v>
      </c>
      <c r="BY113" s="3">
        <f>+'Indice PondENGHO'!BY111/'Indice PondENGHO'!BY99-1</f>
        <v>0.28623902156501257</v>
      </c>
      <c r="BZ113" s="3">
        <f>+'Indice PondENGHO'!BZ111/'Indice PondENGHO'!BZ99-1</f>
        <v>0.49190982403719552</v>
      </c>
      <c r="CA113" s="3">
        <f>+'Indice PondENGHO'!CA111/'Indice PondENGHO'!CA99-1</f>
        <v>0.40461675674520947</v>
      </c>
      <c r="CB113" s="11">
        <f>+'Indice PondENGHO'!CB111/'Indice PondENGHO'!CB99-1</f>
        <v>0.33567258235832775</v>
      </c>
      <c r="CC113" s="3">
        <f>+'Indice PondENGHO'!CC111/'Indice PondENGHO'!CC99-1</f>
        <v>0.32468365420632628</v>
      </c>
      <c r="CD113" s="3">
        <f>+'Indice PondENGHO'!CD111/'Indice PondENGHO'!CD99-1</f>
        <v>0.32468365420632628</v>
      </c>
      <c r="CF113" s="3">
        <f t="shared" ref="CF113" si="107">+BL113-BP113</f>
        <v>1.3226587118240207E-3</v>
      </c>
    </row>
    <row r="114" spans="1:84" x14ac:dyDescent="0.25">
      <c r="A114" s="2">
        <f t="shared" ref="A114" si="108">+DATE(C114,B114,1)</f>
        <v>46054</v>
      </c>
      <c r="B114" s="1">
        <f t="shared" si="4"/>
        <v>2</v>
      </c>
      <c r="C114" s="1">
        <f t="shared" ref="C114" si="109">+IF(B114=1,C113+1,C113)</f>
        <v>2026</v>
      </c>
      <c r="D114" s="10">
        <f>+'Indice PondENGHO'!D112/'Indice PondENGHO'!D100-1</f>
        <v>0.36416873770587599</v>
      </c>
      <c r="E114" s="3">
        <f>+'Indice PondENGHO'!E112/'Indice PondENGHO'!E100-1</f>
        <v>0.23038941827839809</v>
      </c>
      <c r="F114" s="3">
        <f>+'Indice PondENGHO'!F112/'Indice PondENGHO'!F100-1</f>
        <v>0.15349788225211913</v>
      </c>
      <c r="G114" s="3">
        <f>+'Indice PondENGHO'!G112/'Indice PondENGHO'!G100-1</f>
        <v>0.4461717944732202</v>
      </c>
      <c r="H114" s="3">
        <f>+'Indice PondENGHO'!H112/'Indice PondENGHO'!H100-1</f>
        <v>0.20366909549986589</v>
      </c>
      <c r="I114" s="3">
        <f>+'Indice PondENGHO'!I112/'Indice PondENGHO'!I100-1</f>
        <v>0.28560893988013181</v>
      </c>
      <c r="J114" s="3">
        <f>+'Indice PondENGHO'!J112/'Indice PondENGHO'!J100-1</f>
        <v>0.32718105588373603</v>
      </c>
      <c r="K114" s="3">
        <f>+'Indice PondENGHO'!K112/'Indice PondENGHO'!K100-1</f>
        <v>0.35291639092531391</v>
      </c>
      <c r="L114" s="3">
        <f>+'Indice PondENGHO'!L112/'Indice PondENGHO'!L100-1</f>
        <v>0.28003932623373018</v>
      </c>
      <c r="M114" s="3">
        <f>+'Indice PondENGHO'!M112/'Indice PondENGHO'!M100-1</f>
        <v>0.51612824277429481</v>
      </c>
      <c r="N114" s="3">
        <f>+'Indice PondENGHO'!N112/'Indice PondENGHO'!N100-1</f>
        <v>0.41369758372951448</v>
      </c>
      <c r="O114" s="11">
        <f>+'Indice PondENGHO'!O112/'Indice PondENGHO'!O100-1</f>
        <v>0.32590336563567979</v>
      </c>
      <c r="P114" s="10">
        <f>+'Indice PondENGHO'!P112/'Indice PondENGHO'!P100-1</f>
        <v>0.36224433192641814</v>
      </c>
      <c r="Q114" s="3">
        <f>+'Indice PondENGHO'!Q112/'Indice PondENGHO'!Q100-1</f>
        <v>0.23224354832507799</v>
      </c>
      <c r="R114" s="3">
        <f>+'Indice PondENGHO'!R112/'Indice PondENGHO'!R100-1</f>
        <v>0.15195614815846503</v>
      </c>
      <c r="S114" s="3">
        <f>+'Indice PondENGHO'!S112/'Indice PondENGHO'!S100-1</f>
        <v>0.44596466154489356</v>
      </c>
      <c r="T114" s="3">
        <f>+'Indice PondENGHO'!T112/'Indice PondENGHO'!T100-1</f>
        <v>0.20930752668632935</v>
      </c>
      <c r="U114" s="3">
        <f>+'Indice PondENGHO'!U112/'Indice PondENGHO'!U100-1</f>
        <v>0.28552771618973849</v>
      </c>
      <c r="V114" s="3">
        <f>+'Indice PondENGHO'!V112/'Indice PondENGHO'!V100-1</f>
        <v>0.3298610360326244</v>
      </c>
      <c r="W114" s="3">
        <f>+'Indice PondENGHO'!W112/'Indice PondENGHO'!W100-1</f>
        <v>0.35734397267897844</v>
      </c>
      <c r="X114" s="3">
        <f>+'Indice PondENGHO'!X112/'Indice PondENGHO'!X100-1</f>
        <v>0.28126455760662084</v>
      </c>
      <c r="Y114" s="3">
        <f>+'Indice PondENGHO'!Y112/'Indice PondENGHO'!Y100-1</f>
        <v>0.48841806003667876</v>
      </c>
      <c r="Z114" s="3">
        <f>+'Indice PondENGHO'!Z112/'Indice PondENGHO'!Z100-1</f>
        <v>0.4140490069084628</v>
      </c>
      <c r="AA114" s="11">
        <f>+'Indice PondENGHO'!AA112/'Indice PondENGHO'!AA100-1</f>
        <v>0.33401386480789341</v>
      </c>
      <c r="AB114" s="10">
        <f>+'Indice PondENGHO'!AB112/'Indice PondENGHO'!AB100-1</f>
        <v>0.36037872862089637</v>
      </c>
      <c r="AC114" s="3">
        <f>+'Indice PondENGHO'!AC112/'Indice PondENGHO'!AC100-1</f>
        <v>0.23306339953033661</v>
      </c>
      <c r="AD114" s="3">
        <f>+'Indice PondENGHO'!AD112/'Indice PondENGHO'!AD100-1</f>
        <v>0.15057924669967027</v>
      </c>
      <c r="AE114" s="3">
        <f>+'Indice PondENGHO'!AE112/'Indice PondENGHO'!AE100-1</f>
        <v>0.44671398381501781</v>
      </c>
      <c r="AF114" s="3">
        <f>+'Indice PondENGHO'!AF112/'Indice PondENGHO'!AF100-1</f>
        <v>0.21235178284360279</v>
      </c>
      <c r="AG114" s="3">
        <f>+'Indice PondENGHO'!AG112/'Indice PondENGHO'!AG100-1</f>
        <v>0.28715292905155199</v>
      </c>
      <c r="AH114" s="3">
        <f>+'Indice PondENGHO'!AH112/'Indice PondENGHO'!AH100-1</f>
        <v>0.33000996166506802</v>
      </c>
      <c r="AI114" s="3">
        <f>+'Indice PondENGHO'!AI112/'Indice PondENGHO'!AI100-1</f>
        <v>0.35965601467423403</v>
      </c>
      <c r="AJ114" s="3">
        <f>+'Indice PondENGHO'!AJ112/'Indice PondENGHO'!AJ100-1</f>
        <v>0.28281876180435939</v>
      </c>
      <c r="AK114" s="3">
        <f>+'Indice PondENGHO'!AK112/'Indice PondENGHO'!AK100-1</f>
        <v>0.48630594364083835</v>
      </c>
      <c r="AL114" s="3">
        <f>+'Indice PondENGHO'!AL112/'Indice PondENGHO'!AL100-1</f>
        <v>0.41546734984063294</v>
      </c>
      <c r="AM114" s="11">
        <f>+'Indice PondENGHO'!AM112/'Indice PondENGHO'!AM100-1</f>
        <v>0.33758271574899879</v>
      </c>
      <c r="AN114" s="10">
        <f>+'Indice PondENGHO'!AN112/'Indice PondENGHO'!AN100-1</f>
        <v>0.35826099105365672</v>
      </c>
      <c r="AO114" s="3">
        <f>+'Indice PondENGHO'!AO112/'Indice PondENGHO'!AO100-1</f>
        <v>0.23432338437939948</v>
      </c>
      <c r="AP114" s="3">
        <f>+'Indice PondENGHO'!AP112/'Indice PondENGHO'!AP100-1</f>
        <v>0.15133980373016276</v>
      </c>
      <c r="AQ114" s="3">
        <f>+'Indice PondENGHO'!AQ112/'Indice PondENGHO'!AQ100-1</f>
        <v>0.45064925122851029</v>
      </c>
      <c r="AR114" s="3">
        <f>+'Indice PondENGHO'!AR112/'Indice PondENGHO'!AR100-1</f>
        <v>0.21320931100609197</v>
      </c>
      <c r="AS114" s="3">
        <f>+'Indice PondENGHO'!AS112/'Indice PondENGHO'!AS100-1</f>
        <v>0.28692266943985811</v>
      </c>
      <c r="AT114" s="3">
        <f>+'Indice PondENGHO'!AT112/'Indice PondENGHO'!AT100-1</f>
        <v>0.33299421542433127</v>
      </c>
      <c r="AU114" s="3">
        <f>+'Indice PondENGHO'!AU112/'Indice PondENGHO'!AU100-1</f>
        <v>0.36049705145967592</v>
      </c>
      <c r="AV114" s="3">
        <f>+'Indice PondENGHO'!AV112/'Indice PondENGHO'!AV100-1</f>
        <v>0.27968300834629445</v>
      </c>
      <c r="AW114" s="3">
        <f>+'Indice PondENGHO'!AW112/'Indice PondENGHO'!AW100-1</f>
        <v>0.48975546074191278</v>
      </c>
      <c r="AX114" s="3">
        <f>+'Indice PondENGHO'!AX112/'Indice PondENGHO'!AX100-1</f>
        <v>0.41415152842888903</v>
      </c>
      <c r="AY114" s="11">
        <f>+'Indice PondENGHO'!AY112/'Indice PondENGHO'!AY100-1</f>
        <v>0.34003023114616671</v>
      </c>
      <c r="AZ114" s="10">
        <f>+'Indice PondENGHO'!AZ112/'Indice PondENGHO'!AZ100-1</f>
        <v>0.35641146326227391</v>
      </c>
      <c r="BA114" s="3">
        <f>+'Indice PondENGHO'!BA112/'Indice PondENGHO'!BA100-1</f>
        <v>0.23574689191108855</v>
      </c>
      <c r="BB114" s="3">
        <f>+'Indice PondENGHO'!BB112/'Indice PondENGHO'!BB100-1</f>
        <v>0.15116324549353988</v>
      </c>
      <c r="BC114" s="3">
        <f>+'Indice PondENGHO'!BC112/'Indice PondENGHO'!BC100-1</f>
        <v>0.45074271000677091</v>
      </c>
      <c r="BD114" s="3">
        <f>+'Indice PondENGHO'!BD112/'Indice PondENGHO'!BD100-1</f>
        <v>0.21768268373939126</v>
      </c>
      <c r="BE114" s="3">
        <f>+'Indice PondENGHO'!BE112/'Indice PondENGHO'!BE100-1</f>
        <v>0.28712543200686769</v>
      </c>
      <c r="BF114" s="3">
        <f>+'Indice PondENGHO'!BF112/'Indice PondENGHO'!BF100-1</f>
        <v>0.33559719331832194</v>
      </c>
      <c r="BG114" s="3">
        <f>+'Indice PondENGHO'!BG112/'Indice PondENGHO'!BG100-1</f>
        <v>0.36428564011391851</v>
      </c>
      <c r="BH114" s="3">
        <f>+'Indice PondENGHO'!BH112/'Indice PondENGHO'!BH100-1</f>
        <v>0.27608805449168883</v>
      </c>
      <c r="BI114" s="3">
        <f>+'Indice PondENGHO'!BI112/'Indice PondENGHO'!BI100-1</f>
        <v>0.46306194367977382</v>
      </c>
      <c r="BJ114" s="3">
        <f>+'Indice PondENGHO'!BJ112/'Indice PondENGHO'!BJ100-1</f>
        <v>0.41438058120373511</v>
      </c>
      <c r="BK114" s="11">
        <f>+'Indice PondENGHO'!BK112/'Indice PondENGHO'!BK100-1</f>
        <v>0.34681481867973574</v>
      </c>
      <c r="BL114" s="3">
        <f>+'Indice PondENGHO'!BL112/'Indice PondENGHO'!BL100-1</f>
        <v>0.33260035214080208</v>
      </c>
      <c r="BM114" s="3">
        <f>+'Indice PondENGHO'!BM112/'Indice PondENGHO'!BM100-1</f>
        <v>0.33208861850539506</v>
      </c>
      <c r="BN114" s="3">
        <f>+'Indice PondENGHO'!BN112/'Indice PondENGHO'!BN100-1</f>
        <v>0.33194368135814001</v>
      </c>
      <c r="BO114" s="3">
        <f>+'Indice PondENGHO'!BO112/'Indice PondENGHO'!BO100-1</f>
        <v>0.33079523848133441</v>
      </c>
      <c r="BP114" s="3">
        <f>+'Indice PondENGHO'!BP112/'Indice PondENGHO'!BP100-1</f>
        <v>0.32979900015595853</v>
      </c>
      <c r="BQ114" s="10">
        <f>+'Indice PondENGHO'!BQ112/'Indice PondENGHO'!BQ100-1</f>
        <v>0.36006093283403606</v>
      </c>
      <c r="BR114" s="3">
        <f>+'Indice PondENGHO'!BR112/'Indice PondENGHO'!BR100-1</f>
        <v>0.23362804027779438</v>
      </c>
      <c r="BS114" s="3">
        <f>+'Indice PondENGHO'!BS112/'Indice PondENGHO'!BS100-1</f>
        <v>0.15154389252610834</v>
      </c>
      <c r="BT114" s="3">
        <f>+'Indice PondENGHO'!BT112/'Indice PondENGHO'!BT100-1</f>
        <v>0.44868693173281726</v>
      </c>
      <c r="BU114" s="3">
        <f>+'Indice PondENGHO'!BU112/'Indice PondENGHO'!BU100-1</f>
        <v>0.2135946516282341</v>
      </c>
      <c r="BV114" s="3">
        <f>+'Indice PondENGHO'!BV112/'Indice PondENGHO'!BV100-1</f>
        <v>0.28678008364442942</v>
      </c>
      <c r="BW114" s="3">
        <f>+'Indice PondENGHO'!BW112/'Indice PondENGHO'!BW100-1</f>
        <v>0.33247547409648703</v>
      </c>
      <c r="BX114" s="3">
        <f>+'Indice PondENGHO'!BX112/'Indice PondENGHO'!BX100-1</f>
        <v>0.3600180699741351</v>
      </c>
      <c r="BY114" s="3">
        <f>+'Indice PondENGHO'!BY112/'Indice PondENGHO'!BY100-1</f>
        <v>0.2791117803632186</v>
      </c>
      <c r="BZ114" s="3">
        <f>+'Indice PondENGHO'!BZ112/'Indice PondENGHO'!BZ100-1</f>
        <v>0.47981398290892563</v>
      </c>
      <c r="CA114" s="3">
        <f>+'Indice PondENGHO'!CA112/'Indice PondENGHO'!CA100-1</f>
        <v>0.41440557451055504</v>
      </c>
      <c r="CB114" s="11">
        <f>+'Indice PondENGHO'!CB112/'Indice PondENGHO'!CB100-1</f>
        <v>0.33990369220533601</v>
      </c>
      <c r="CC114" s="3">
        <f>+'Indice PondENGHO'!CC112/'Indice PondENGHO'!CC100-1</f>
        <v>0.33109791343789441</v>
      </c>
      <c r="CD114" s="3">
        <f>+'Indice PondENGHO'!CD112/'Indice PondENGHO'!CD100-1</f>
        <v>0.33109779234474535</v>
      </c>
      <c r="CF114" s="3">
        <f t="shared" ref="CF114" si="110">+BL114-BP114</f>
        <v>2.8013519848435475E-3</v>
      </c>
    </row>
    <row r="115" spans="1:84" x14ac:dyDescent="0.25">
      <c r="A115" s="2">
        <f t="shared" ref="A115" si="111">+DATE(C115,B115,1)</f>
        <v>46082</v>
      </c>
      <c r="B115" s="1">
        <f t="shared" si="4"/>
        <v>3</v>
      </c>
      <c r="C115" s="1">
        <f t="shared" ref="C115" si="112">+IF(B115=1,C114+1,C114)</f>
        <v>2026</v>
      </c>
      <c r="D115" s="10">
        <f>+'Indice PondENGHO'!D113/'Indice PondENGHO'!D101-1</f>
        <v>0.33496530775463218</v>
      </c>
      <c r="E115" s="3">
        <f>+'Indice PondENGHO'!E113/'Indice PondENGHO'!E101-1</f>
        <v>0.24822715411100238</v>
      </c>
      <c r="F115" s="3">
        <f>+'Indice PondENGHO'!F113/'Indice PondENGHO'!F101-1</f>
        <v>0.13831748230691532</v>
      </c>
      <c r="G115" s="3">
        <f>+'Indice PondENGHO'!G113/'Indice PondENGHO'!G101-1</f>
        <v>0.46684233878020431</v>
      </c>
      <c r="H115" s="3">
        <f>+'Indice PondENGHO'!H113/'Indice PondENGHO'!H101-1</f>
        <v>0.2018432228593654</v>
      </c>
      <c r="I115" s="3">
        <f>+'Indice PondENGHO'!I113/'Indice PondENGHO'!I101-1</f>
        <v>0.29409335196940289</v>
      </c>
      <c r="J115" s="3">
        <f>+'Indice PondENGHO'!J113/'Indice PondENGHO'!J101-1</f>
        <v>0.3590261396869574</v>
      </c>
      <c r="K115" s="3">
        <f>+'Indice PondENGHO'!K113/'Indice PondENGHO'!K101-1</f>
        <v>0.36067701987606404</v>
      </c>
      <c r="L115" s="3">
        <f>+'Indice PondENGHO'!L113/'Indice PondENGHO'!L101-1</f>
        <v>0.32098230939060812</v>
      </c>
      <c r="M115" s="3">
        <f>+'Indice PondENGHO'!M113/'Indice PondENGHO'!M101-1</f>
        <v>0.40420497607407291</v>
      </c>
      <c r="N115" s="3">
        <f>+'Indice PondENGHO'!N113/'Indice PondENGHO'!N101-1</f>
        <v>0.40631046882685706</v>
      </c>
      <c r="O115" s="11">
        <f>+'Indice PondENGHO'!O113/'Indice PondENGHO'!O101-1</f>
        <v>0.30950730558358419</v>
      </c>
      <c r="P115" s="10">
        <f>+'Indice PondENGHO'!P113/'Indice PondENGHO'!P101-1</f>
        <v>0.33147427486264536</v>
      </c>
      <c r="Q115" s="3">
        <f>+'Indice PondENGHO'!Q113/'Indice PondENGHO'!Q101-1</f>
        <v>0.24889053234238179</v>
      </c>
      <c r="R115" s="3">
        <f>+'Indice PondENGHO'!R113/'Indice PondENGHO'!R101-1</f>
        <v>0.13536614810102399</v>
      </c>
      <c r="S115" s="3">
        <f>+'Indice PondENGHO'!S113/'Indice PondENGHO'!S101-1</f>
        <v>0.4602427103851352</v>
      </c>
      <c r="T115" s="3">
        <f>+'Indice PondENGHO'!T113/'Indice PondENGHO'!T101-1</f>
        <v>0.20734952063417733</v>
      </c>
      <c r="U115" s="3">
        <f>+'Indice PondENGHO'!U113/'Indice PondENGHO'!U101-1</f>
        <v>0.29499548331791758</v>
      </c>
      <c r="V115" s="3">
        <f>+'Indice PondENGHO'!V113/'Indice PondENGHO'!V101-1</f>
        <v>0.3617921119957932</v>
      </c>
      <c r="W115" s="3">
        <f>+'Indice PondENGHO'!W113/'Indice PondENGHO'!W101-1</f>
        <v>0.3638921415247669</v>
      </c>
      <c r="X115" s="3">
        <f>+'Indice PondENGHO'!X113/'Indice PondENGHO'!X101-1</f>
        <v>0.32385011235368588</v>
      </c>
      <c r="Y115" s="3">
        <f>+'Indice PondENGHO'!Y113/'Indice PondENGHO'!Y101-1</f>
        <v>0.3843283335889025</v>
      </c>
      <c r="Z115" s="3">
        <f>+'Indice PondENGHO'!Z113/'Indice PondENGHO'!Z101-1</f>
        <v>0.40782339993906058</v>
      </c>
      <c r="AA115" s="11">
        <f>+'Indice PondENGHO'!AA113/'Indice PondENGHO'!AA101-1</f>
        <v>0.31578445118589449</v>
      </c>
      <c r="AB115" s="10">
        <f>+'Indice PondENGHO'!AB113/'Indice PondENGHO'!AB101-1</f>
        <v>0.32861138738356543</v>
      </c>
      <c r="AC115" s="3">
        <f>+'Indice PondENGHO'!AC113/'Indice PondENGHO'!AC101-1</f>
        <v>0.24973502084523491</v>
      </c>
      <c r="AD115" s="3">
        <f>+'Indice PondENGHO'!AD113/'Indice PondENGHO'!AD101-1</f>
        <v>0.13343433228290547</v>
      </c>
      <c r="AE115" s="3">
        <f>+'Indice PondENGHO'!AE113/'Indice PondENGHO'!AE101-1</f>
        <v>0.45766724661172198</v>
      </c>
      <c r="AF115" s="3">
        <f>+'Indice PondENGHO'!AF113/'Indice PondENGHO'!AF101-1</f>
        <v>0.20996008762418561</v>
      </c>
      <c r="AG115" s="3">
        <f>+'Indice PondENGHO'!AG113/'Indice PondENGHO'!AG101-1</f>
        <v>0.29719872870804975</v>
      </c>
      <c r="AH115" s="3">
        <f>+'Indice PondENGHO'!AH113/'Indice PondENGHO'!AH101-1</f>
        <v>0.36093473239349083</v>
      </c>
      <c r="AI115" s="3">
        <f>+'Indice PondENGHO'!AI113/'Indice PondENGHO'!AI101-1</f>
        <v>0.3654745309709182</v>
      </c>
      <c r="AJ115" s="3">
        <f>+'Indice PondENGHO'!AJ113/'Indice PondENGHO'!AJ101-1</f>
        <v>0.32633595164530704</v>
      </c>
      <c r="AK115" s="3">
        <f>+'Indice PondENGHO'!AK113/'Indice PondENGHO'!AK101-1</f>
        <v>0.3821460370721943</v>
      </c>
      <c r="AL115" s="3">
        <f>+'Indice PondENGHO'!AL113/'Indice PondENGHO'!AL101-1</f>
        <v>0.40907108442389939</v>
      </c>
      <c r="AM115" s="11">
        <f>+'Indice PondENGHO'!AM113/'Indice PondENGHO'!AM101-1</f>
        <v>0.31874060069154142</v>
      </c>
      <c r="AN115" s="10">
        <f>+'Indice PondENGHO'!AN113/'Indice PondENGHO'!AN101-1</f>
        <v>0.32627540791678533</v>
      </c>
      <c r="AO115" s="3">
        <f>+'Indice PondENGHO'!AO113/'Indice PondENGHO'!AO101-1</f>
        <v>0.2505281657895404</v>
      </c>
      <c r="AP115" s="3">
        <f>+'Indice PondENGHO'!AP113/'Indice PondENGHO'!AP101-1</f>
        <v>0.13401773711424991</v>
      </c>
      <c r="AQ115" s="3">
        <f>+'Indice PondENGHO'!AQ113/'Indice PondENGHO'!AQ101-1</f>
        <v>0.45938232775334664</v>
      </c>
      <c r="AR115" s="3">
        <f>+'Indice PondENGHO'!AR113/'Indice PondENGHO'!AR101-1</f>
        <v>0.21055418932380565</v>
      </c>
      <c r="AS115" s="3">
        <f>+'Indice PondENGHO'!AS113/'Indice PondENGHO'!AS101-1</f>
        <v>0.29765403650456657</v>
      </c>
      <c r="AT115" s="3">
        <f>+'Indice PondENGHO'!AT113/'Indice PondENGHO'!AT101-1</f>
        <v>0.36446442838671955</v>
      </c>
      <c r="AU115" s="3">
        <f>+'Indice PondENGHO'!AU113/'Indice PondENGHO'!AU101-1</f>
        <v>0.36573418472110641</v>
      </c>
      <c r="AV115" s="3">
        <f>+'Indice PondENGHO'!AV113/'Indice PondENGHO'!AV101-1</f>
        <v>0.32240781544558894</v>
      </c>
      <c r="AW115" s="3">
        <f>+'Indice PondENGHO'!AW113/'Indice PondENGHO'!AW101-1</f>
        <v>0.38122710779557867</v>
      </c>
      <c r="AX115" s="3">
        <f>+'Indice PondENGHO'!AX113/'Indice PondENGHO'!AX101-1</f>
        <v>0.40754742569204749</v>
      </c>
      <c r="AY115" s="11">
        <f>+'Indice PondENGHO'!AY113/'Indice PondENGHO'!AY101-1</f>
        <v>0.32017196788883195</v>
      </c>
      <c r="AZ115" s="10">
        <f>+'Indice PondENGHO'!AZ113/'Indice PondENGHO'!AZ101-1</f>
        <v>0.32322837777199664</v>
      </c>
      <c r="BA115" s="3">
        <f>+'Indice PondENGHO'!BA113/'Indice PondENGHO'!BA101-1</f>
        <v>0.25114176441993208</v>
      </c>
      <c r="BB115" s="3">
        <f>+'Indice PondENGHO'!BB113/'Indice PondENGHO'!BB101-1</f>
        <v>0.133672649471543</v>
      </c>
      <c r="BC115" s="3">
        <f>+'Indice PondENGHO'!BC113/'Indice PondENGHO'!BC101-1</f>
        <v>0.45581653162088287</v>
      </c>
      <c r="BD115" s="3">
        <f>+'Indice PondENGHO'!BD113/'Indice PondENGHO'!BD101-1</f>
        <v>0.21469576295715909</v>
      </c>
      <c r="BE115" s="3">
        <f>+'Indice PondENGHO'!BE113/'Indice PondENGHO'!BE101-1</f>
        <v>0.29874424140206646</v>
      </c>
      <c r="BF115" s="3">
        <f>+'Indice PondENGHO'!BF113/'Indice PondENGHO'!BF101-1</f>
        <v>0.36728849910507044</v>
      </c>
      <c r="BG115" s="3">
        <f>+'Indice PondENGHO'!BG113/'Indice PondENGHO'!BG101-1</f>
        <v>0.36824550268269918</v>
      </c>
      <c r="BH115" s="3">
        <f>+'Indice PondENGHO'!BH113/'Indice PondENGHO'!BH101-1</f>
        <v>0.31885607216368417</v>
      </c>
      <c r="BI115" s="3">
        <f>+'Indice PondENGHO'!BI113/'Indice PondENGHO'!BI101-1</f>
        <v>0.36693060364646835</v>
      </c>
      <c r="BJ115" s="3">
        <f>+'Indice PondENGHO'!BJ113/'Indice PondENGHO'!BJ101-1</f>
        <v>0.40743731690969254</v>
      </c>
      <c r="BK115" s="11">
        <f>+'Indice PondENGHO'!BK113/'Indice PondENGHO'!BK101-1</f>
        <v>0.32447858720369926</v>
      </c>
      <c r="BL115" s="3">
        <f>+'Indice PondENGHO'!BL113/'Indice PondENGHO'!BL101-1</f>
        <v>0.32526033669281662</v>
      </c>
      <c r="BM115" s="3">
        <f>+'Indice PondENGHO'!BM113/'Indice PondENGHO'!BM101-1</f>
        <v>0.3261109725907021</v>
      </c>
      <c r="BN115" s="3">
        <f>+'Indice PondENGHO'!BN113/'Indice PondENGHO'!BN101-1</f>
        <v>0.3257369046644456</v>
      </c>
      <c r="BO115" s="3">
        <f>+'Indice PondENGHO'!BO113/'Indice PondENGHO'!BO101-1</f>
        <v>0.32658611113994329</v>
      </c>
      <c r="BP115" s="3">
        <f>+'Indice PondENGHO'!BP113/'Indice PondENGHO'!BP101-1</f>
        <v>0.32735796743695378</v>
      </c>
      <c r="BQ115" s="10">
        <f>+'Indice PondENGHO'!BQ113/'Indice PondENGHO'!BQ101-1</f>
        <v>0.32857217908826586</v>
      </c>
      <c r="BR115" s="3">
        <f>+'Indice PondENGHO'!BR113/'Indice PondENGHO'!BR101-1</f>
        <v>0.2499666887598091</v>
      </c>
      <c r="BS115" s="3">
        <f>+'Indice PondENGHO'!BS113/'Indice PondENGHO'!BS101-1</f>
        <v>0.13461656270730704</v>
      </c>
      <c r="BT115" s="3">
        <f>+'Indice PondENGHO'!BT113/'Indice PondENGHO'!BT101-1</f>
        <v>0.45896127492717698</v>
      </c>
      <c r="BU115" s="3">
        <f>+'Indice PondENGHO'!BU113/'Indice PondENGHO'!BU101-1</f>
        <v>0.21100504547534804</v>
      </c>
      <c r="BV115" s="3">
        <f>+'Indice PondENGHO'!BV113/'Indice PondENGHO'!BV101-1</f>
        <v>0.29743143516610293</v>
      </c>
      <c r="BW115" s="3">
        <f>+'Indice PondENGHO'!BW113/'Indice PondENGHO'!BW101-1</f>
        <v>0.36403515497599681</v>
      </c>
      <c r="BX115" s="3">
        <f>+'Indice PondENGHO'!BX113/'Indice PondENGHO'!BX101-1</f>
        <v>0.36551525622710268</v>
      </c>
      <c r="BY115" s="3">
        <f>+'Indice PondENGHO'!BY113/'Indice PondENGHO'!BY101-1</f>
        <v>0.32177625675436161</v>
      </c>
      <c r="BZ115" s="3">
        <f>+'Indice PondENGHO'!BZ113/'Indice PondENGHO'!BZ101-1</f>
        <v>0.3774873395629772</v>
      </c>
      <c r="CA115" s="3">
        <f>+'Indice PondENGHO'!CA113/'Indice PondENGHO'!CA101-1</f>
        <v>0.40768172734380048</v>
      </c>
      <c r="CB115" s="11">
        <f>+'Indice PondENGHO'!CB113/'Indice PondENGHO'!CB101-1</f>
        <v>0.31987173003024583</v>
      </c>
      <c r="CC115" s="3">
        <f>+'Indice PondENGHO'!CC113/'Indice PondENGHO'!CC101-1</f>
        <v>0.32644792352624807</v>
      </c>
      <c r="CD115" s="3">
        <f>+'Indice PondENGHO'!CD113/'Indice PondENGHO'!CD101-1</f>
        <v>0.32644792352624807</v>
      </c>
      <c r="CF115" s="3">
        <f t="shared" ref="CF115" si="113">+BL115-BP115</f>
        <v>-2.0976307441371578E-3</v>
      </c>
    </row>
    <row r="116" spans="1:84" x14ac:dyDescent="0.25">
      <c r="A116" s="2">
        <f t="shared" ref="A116" si="114">+DATE(C116,B116,1)</f>
        <v>46113</v>
      </c>
      <c r="B116" s="1">
        <f t="shared" si="4"/>
        <v>4</v>
      </c>
      <c r="C116" s="1">
        <f t="shared" ref="C116" si="115">+IF(B116=1,C115+1,C115)</f>
        <v>2026</v>
      </c>
      <c r="D116" s="10">
        <f>+'Indice PondENGHO'!D114/'Indice PondENGHO'!D102-1</f>
        <v>0.31593970869286148</v>
      </c>
      <c r="E116" s="3">
        <f>+'Indice PondENGHO'!E114/'Indice PondENGHO'!E102-1</f>
        <v>0.23716294012811967</v>
      </c>
      <c r="F116" s="3">
        <f>+'Indice PondENGHO'!F114/'Indice PondENGHO'!F102-1</f>
        <v>0.1298617188499005</v>
      </c>
      <c r="G116" s="3">
        <f>+'Indice PondENGHO'!G114/'Indice PondENGHO'!G102-1</f>
        <v>0.48872552854886608</v>
      </c>
      <c r="H116" s="3">
        <f>+'Indice PondENGHO'!H114/'Indice PondENGHO'!H102-1</f>
        <v>0.22369530030848339</v>
      </c>
      <c r="I116" s="3">
        <f>+'Indice PondENGHO'!I114/'Indice PondENGHO'!I102-1</f>
        <v>0.29510467307788613</v>
      </c>
      <c r="J116" s="3">
        <f>+'Indice PondENGHO'!J114/'Indice PondENGHO'!J102-1</f>
        <v>0.39921984061561488</v>
      </c>
      <c r="K116" s="3">
        <f>+'Indice PondENGHO'!K114/'Indice PondENGHO'!K102-1</f>
        <v>0.37506051674298169</v>
      </c>
      <c r="L116" s="3">
        <f>+'Indice PondENGHO'!L114/'Indice PondENGHO'!L102-1</f>
        <v>0.28146664138719935</v>
      </c>
      <c r="M116" s="3">
        <f>+'Indice PondENGHO'!M114/'Indice PondENGHO'!M102-1</f>
        <v>0.42475693463304043</v>
      </c>
      <c r="N116" s="3">
        <f>+'Indice PondENGHO'!N114/'Indice PondENGHO'!N102-1</f>
        <v>0.38785835614238628</v>
      </c>
      <c r="O116" s="11">
        <f>+'Indice PondENGHO'!O114/'Indice PondENGHO'!O102-1</f>
        <v>0.30679657504455227</v>
      </c>
      <c r="P116" s="10">
        <f>+'Indice PondENGHO'!P114/'Indice PondENGHO'!P102-1</f>
        <v>0.31207614784226223</v>
      </c>
      <c r="Q116" s="3">
        <f>+'Indice PondENGHO'!Q114/'Indice PondENGHO'!Q102-1</f>
        <v>0.23728991044267822</v>
      </c>
      <c r="R116" s="3">
        <f>+'Indice PondENGHO'!R114/'Indice PondENGHO'!R102-1</f>
        <v>0.12767096380911913</v>
      </c>
      <c r="S116" s="3">
        <f>+'Indice PondENGHO'!S114/'Indice PondENGHO'!S102-1</f>
        <v>0.48251052497747593</v>
      </c>
      <c r="T116" s="3">
        <f>+'Indice PondENGHO'!T114/'Indice PondENGHO'!T102-1</f>
        <v>0.22999927832743738</v>
      </c>
      <c r="U116" s="3">
        <f>+'Indice PondENGHO'!U114/'Indice PondENGHO'!U102-1</f>
        <v>0.29571735443526337</v>
      </c>
      <c r="V116" s="3">
        <f>+'Indice PondENGHO'!V114/'Indice PondENGHO'!V102-1</f>
        <v>0.40036758288238694</v>
      </c>
      <c r="W116" s="3">
        <f>+'Indice PondENGHO'!W114/'Indice PondENGHO'!W102-1</f>
        <v>0.37962118234445041</v>
      </c>
      <c r="X116" s="3">
        <f>+'Indice PondENGHO'!X114/'Indice PondENGHO'!X102-1</f>
        <v>0.28352447814674653</v>
      </c>
      <c r="Y116" s="3">
        <f>+'Indice PondENGHO'!Y114/'Indice PondENGHO'!Y102-1</f>
        <v>0.41259184464136522</v>
      </c>
      <c r="Z116" s="3">
        <f>+'Indice PondENGHO'!Z114/'Indice PondENGHO'!Z102-1</f>
        <v>0.38903574139126684</v>
      </c>
      <c r="AA116" s="11">
        <f>+'Indice PondENGHO'!AA114/'Indice PondENGHO'!AA102-1</f>
        <v>0.3140047006311415</v>
      </c>
      <c r="AB116" s="10">
        <f>+'Indice PondENGHO'!AB114/'Indice PondENGHO'!AB102-1</f>
        <v>0.30952946311947294</v>
      </c>
      <c r="AC116" s="3">
        <f>+'Indice PondENGHO'!AC114/'Indice PondENGHO'!AC102-1</f>
        <v>0.23806200019400592</v>
      </c>
      <c r="AD116" s="3">
        <f>+'Indice PondENGHO'!AD114/'Indice PondENGHO'!AD102-1</f>
        <v>0.12603578240075008</v>
      </c>
      <c r="AE116" s="3">
        <f>+'Indice PondENGHO'!AE114/'Indice PondENGHO'!AE102-1</f>
        <v>0.47940739259230347</v>
      </c>
      <c r="AF116" s="3">
        <f>+'Indice PondENGHO'!AF114/'Indice PondENGHO'!AF102-1</f>
        <v>0.23335475451976095</v>
      </c>
      <c r="AG116" s="3">
        <f>+'Indice PondENGHO'!AG114/'Indice PondENGHO'!AG102-1</f>
        <v>0.29816599362314311</v>
      </c>
      <c r="AH116" s="3">
        <f>+'Indice PondENGHO'!AH114/'Indice PondENGHO'!AH102-1</f>
        <v>0.39899163419317696</v>
      </c>
      <c r="AI116" s="3">
        <f>+'Indice PondENGHO'!AI114/'Indice PondENGHO'!AI102-1</f>
        <v>0.38200153546003435</v>
      </c>
      <c r="AJ116" s="3">
        <f>+'Indice PondENGHO'!AJ114/'Indice PondENGHO'!AJ102-1</f>
        <v>0.28482494209838993</v>
      </c>
      <c r="AK116" s="3">
        <f>+'Indice PondENGHO'!AK114/'Indice PondENGHO'!AK102-1</f>
        <v>0.41239458196830525</v>
      </c>
      <c r="AL116" s="3">
        <f>+'Indice PondENGHO'!AL114/'Indice PondENGHO'!AL102-1</f>
        <v>0.3896612383409146</v>
      </c>
      <c r="AM116" s="11">
        <f>+'Indice PondENGHO'!AM114/'Indice PondENGHO'!AM102-1</f>
        <v>0.31719111268632716</v>
      </c>
      <c r="AN116" s="10">
        <f>+'Indice PondENGHO'!AN114/'Indice PondENGHO'!AN102-1</f>
        <v>0.30746909442639092</v>
      </c>
      <c r="AO116" s="3">
        <f>+'Indice PondENGHO'!AO114/'Indice PondENGHO'!AO102-1</f>
        <v>0.23873640883303371</v>
      </c>
      <c r="AP116" s="3">
        <f>+'Indice PondENGHO'!AP114/'Indice PondENGHO'!AP102-1</f>
        <v>0.12679854256923839</v>
      </c>
      <c r="AQ116" s="3">
        <f>+'Indice PondENGHO'!AQ114/'Indice PondENGHO'!AQ102-1</f>
        <v>0.48145740071570842</v>
      </c>
      <c r="AR116" s="3">
        <f>+'Indice PondENGHO'!AR114/'Indice PondENGHO'!AR102-1</f>
        <v>0.23405285736773229</v>
      </c>
      <c r="AS116" s="3">
        <f>+'Indice PondENGHO'!AS114/'Indice PondENGHO'!AS102-1</f>
        <v>0.29770353298867125</v>
      </c>
      <c r="AT116" s="3">
        <f>+'Indice PondENGHO'!AT114/'Indice PondENGHO'!AT102-1</f>
        <v>0.40089923188685139</v>
      </c>
      <c r="AU116" s="3">
        <f>+'Indice PondENGHO'!AU114/'Indice PondENGHO'!AU102-1</f>
        <v>0.38230176618911638</v>
      </c>
      <c r="AV116" s="3">
        <f>+'Indice PondENGHO'!AV114/'Indice PondENGHO'!AV102-1</f>
        <v>0.28402764359228949</v>
      </c>
      <c r="AW116" s="3">
        <f>+'Indice PondENGHO'!AW114/'Indice PondENGHO'!AW102-1</f>
        <v>0.41084406494626036</v>
      </c>
      <c r="AX116" s="3">
        <f>+'Indice PondENGHO'!AX114/'Indice PondENGHO'!AX102-1</f>
        <v>0.38732879227186467</v>
      </c>
      <c r="AY116" s="11">
        <f>+'Indice PondENGHO'!AY114/'Indice PondENGHO'!AY102-1</f>
        <v>0.3192492500221229</v>
      </c>
      <c r="AZ116" s="10">
        <f>+'Indice PondENGHO'!AZ114/'Indice PondENGHO'!AZ102-1</f>
        <v>0.30466083637266816</v>
      </c>
      <c r="BA116" s="3">
        <f>+'Indice PondENGHO'!BA114/'Indice PondENGHO'!BA102-1</f>
        <v>0.2390341731337573</v>
      </c>
      <c r="BB116" s="3">
        <f>+'Indice PondENGHO'!BB114/'Indice PondENGHO'!BB102-1</f>
        <v>0.1267558544903995</v>
      </c>
      <c r="BC116" s="3">
        <f>+'Indice PondENGHO'!BC114/'Indice PondENGHO'!BC102-1</f>
        <v>0.48022781832762407</v>
      </c>
      <c r="BD116" s="3">
        <f>+'Indice PondENGHO'!BD114/'Indice PondENGHO'!BD102-1</f>
        <v>0.23844833565300849</v>
      </c>
      <c r="BE116" s="3">
        <f>+'Indice PondENGHO'!BE114/'Indice PondENGHO'!BE102-1</f>
        <v>0.29813155135086133</v>
      </c>
      <c r="BF116" s="3">
        <f>+'Indice PondENGHO'!BF114/'Indice PondENGHO'!BF102-1</f>
        <v>0.4028168062930686</v>
      </c>
      <c r="BG116" s="3">
        <f>+'Indice PondENGHO'!BG114/'Indice PondENGHO'!BG102-1</f>
        <v>0.38561153410641325</v>
      </c>
      <c r="BH116" s="3">
        <f>+'Indice PondENGHO'!BH114/'Indice PondENGHO'!BH102-1</f>
        <v>0.2834207396404993</v>
      </c>
      <c r="BI116" s="3">
        <f>+'Indice PondENGHO'!BI114/'Indice PondENGHO'!BI102-1</f>
        <v>0.40313321371095312</v>
      </c>
      <c r="BJ116" s="3">
        <f>+'Indice PondENGHO'!BJ114/'Indice PondENGHO'!BJ102-1</f>
        <v>0.38638155604697366</v>
      </c>
      <c r="BK116" s="11">
        <f>+'Indice PondENGHO'!BK114/'Indice PondENGHO'!BK102-1</f>
        <v>0.32491358256434633</v>
      </c>
      <c r="BL116" s="3">
        <f>+'Indice PondENGHO'!BL114/'Indice PondENGHO'!BL102-1</f>
        <v>0.31907791791959794</v>
      </c>
      <c r="BM116" s="3">
        <f>+'Indice PondENGHO'!BM114/'Indice PondENGHO'!BM102-1</f>
        <v>0.32221749732450311</v>
      </c>
      <c r="BN116" s="3">
        <f>+'Indice PondENGHO'!BN114/'Indice PondENGHO'!BN102-1</f>
        <v>0.32230168050414454</v>
      </c>
      <c r="BO116" s="3">
        <f>+'Indice PondENGHO'!BO114/'Indice PondENGHO'!BO102-1</f>
        <v>0.32467904310251194</v>
      </c>
      <c r="BP116" s="3">
        <f>+'Indice PondENGHO'!BP114/'Indice PondENGHO'!BP102-1</f>
        <v>0.32685384947578133</v>
      </c>
      <c r="BQ116" s="10">
        <f>+'Indice PondENGHO'!BQ114/'Indice PondENGHO'!BQ102-1</f>
        <v>0.30961699358069272</v>
      </c>
      <c r="BR116" s="3">
        <f>+'Indice PondENGHO'!BR114/'Indice PondENGHO'!BR102-1</f>
        <v>0.23823171391842846</v>
      </c>
      <c r="BS116" s="3">
        <f>+'Indice PondENGHO'!BS114/'Indice PondENGHO'!BS102-1</f>
        <v>0.12720460234120923</v>
      </c>
      <c r="BT116" s="3">
        <f>+'Indice PondENGHO'!BT114/'Indice PondENGHO'!BT102-1</f>
        <v>0.48174230532556583</v>
      </c>
      <c r="BU116" s="3">
        <f>+'Indice PondENGHO'!BU114/'Indice PondENGHO'!BU102-1</f>
        <v>0.2343416492523398</v>
      </c>
      <c r="BV116" s="3">
        <f>+'Indice PondENGHO'!BV114/'Indice PondENGHO'!BV102-1</f>
        <v>0.29752267107268371</v>
      </c>
      <c r="BW116" s="3">
        <f>+'Indice PondENGHO'!BW114/'Indice PondENGHO'!BW102-1</f>
        <v>0.4010474850432435</v>
      </c>
      <c r="BX116" s="3">
        <f>+'Indice PondENGHO'!BX114/'Indice PondENGHO'!BX102-1</f>
        <v>0.38190926929519908</v>
      </c>
      <c r="BY116" s="3">
        <f>+'Indice PondENGHO'!BY114/'Indice PondENGHO'!BY102-1</f>
        <v>0.28359295252338557</v>
      </c>
      <c r="BZ116" s="3">
        <f>+'Indice PondENGHO'!BZ114/'Indice PondENGHO'!BZ102-1</f>
        <v>0.40912224990220936</v>
      </c>
      <c r="CA116" s="3">
        <f>+'Indice PondENGHO'!CA114/'Indice PondENGHO'!CA102-1</f>
        <v>0.38757124483836081</v>
      </c>
      <c r="CB116" s="11">
        <f>+'Indice PondENGHO'!CB114/'Indice PondENGHO'!CB102-1</f>
        <v>0.31905189580869586</v>
      </c>
      <c r="CC116" s="3">
        <f>+'Indice PondENGHO'!CC114/'Indice PondENGHO'!CC102-1</f>
        <v>0.32388894025243453</v>
      </c>
      <c r="CD116" s="3">
        <f>+'Indice PondENGHO'!CD114/'Indice PondENGHO'!CD102-1</f>
        <v>0.32388894025243453</v>
      </c>
      <c r="CF116" s="3">
        <f t="shared" ref="CF116" si="116">+BL116-BP116</f>
        <v>-7.7759315561833908E-3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4:BP11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5:BP11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4:CB11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5:CB11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6:BP11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6:CB11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zoomScaleNormal="85" workbookViewId="0">
      <selection activeCell="I5" sqref="I5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46113</v>
      </c>
      <c r="E6" s="59" t="s">
        <v>130</v>
      </c>
      <c r="F6" s="59">
        <v>1</v>
      </c>
      <c r="G6" s="76">
        <f>100*VLOOKUP($D$6,'Infla Mensual PondENGHO'!$A$3:$BP$100000,$C6)</f>
        <v>2.3706274555240769</v>
      </c>
      <c r="H6" s="61">
        <f>100*VLOOKUP($D$6,'Infla Interanual PondENGHO'!$A$3:$BP$100000,$C6)</f>
        <v>31.907791791959795</v>
      </c>
      <c r="I6" s="59"/>
      <c r="K6" s="66">
        <f>+DATE(P6,Q6,1)</f>
        <v>45748</v>
      </c>
      <c r="L6" s="38" t="s">
        <v>137</v>
      </c>
      <c r="M6" s="87">
        <f>100*VLOOKUP($K6,'Infla Mensual PondENGHO'!$A$3:'Infla Mensual PondENGHO'!$A$3:$BP$1000000,COLUMN($BL$1),FALSE)</f>
        <v>2.8504308700224357</v>
      </c>
      <c r="P6">
        <f>+YEAR(D6)-1</f>
        <v>2025</v>
      </c>
      <c r="Q6">
        <f>+MONTH(D6)</f>
        <v>4</v>
      </c>
      <c r="S6">
        <v>1</v>
      </c>
    </row>
    <row r="7" spans="1:19" x14ac:dyDescent="0.25">
      <c r="A7" s="59"/>
      <c r="B7" s="64">
        <f>+MAX('Infla Mensual PondENGHO'!A4:A100000)</f>
        <v>46113</v>
      </c>
      <c r="C7" s="59">
        <f>+C6+1</f>
        <v>65</v>
      </c>
      <c r="D7" s="64">
        <f t="shared" ref="D7:D10" si="0">+$B$7</f>
        <v>46113</v>
      </c>
      <c r="E7" s="59"/>
      <c r="F7" s="59">
        <f>+F6+1</f>
        <v>2</v>
      </c>
      <c r="G7" s="76">
        <f>100*VLOOKUP($D$6,'Infla Mensual PondENGHO'!$A$3:$BP$100000,$C7)</f>
        <v>2.5002570324790474</v>
      </c>
      <c r="H7" s="61">
        <f>100*VLOOKUP($D$6,'Infla Interanual PondENGHO'!$A$3:$BP$100000,$C7)</f>
        <v>32.221749732450313</v>
      </c>
      <c r="I7" s="59"/>
      <c r="K7" s="66">
        <f t="shared" ref="K7:K18" si="1">+DATE(P7,Q7,1)</f>
        <v>45778</v>
      </c>
      <c r="L7" s="38" t="s">
        <v>137</v>
      </c>
      <c r="M7" s="87">
        <f>100*VLOOKUP($K7,'Infla Mensual PondENGHO'!$A$3:'Infla Mensual PondENGHO'!$A$3:$BP$1000000,COLUMN($BL$1),FALSE)</f>
        <v>1.2751313421927479</v>
      </c>
      <c r="P7">
        <f>+IF(Q6=12,P6+1,P6)</f>
        <v>2025</v>
      </c>
      <c r="Q7">
        <f>+IF(Q6=12,1,Q6+1)</f>
        <v>5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46113</v>
      </c>
      <c r="E8" s="59"/>
      <c r="F8" s="59">
        <f t="shared" ref="F8:F9" si="3">+F7+1</f>
        <v>3</v>
      </c>
      <c r="G8" s="76">
        <f>100*VLOOKUP($D$6,'Infla Mensual PondENGHO'!$A$3:$BP$100000,$C8)</f>
        <v>2.5256629303020084</v>
      </c>
      <c r="H8" s="61">
        <f>100*VLOOKUP($D$6,'Infla Interanual PondENGHO'!$A$3:$BP$100000,$C8)</f>
        <v>32.230168050414456</v>
      </c>
      <c r="I8" s="59"/>
      <c r="K8" s="66">
        <f t="shared" si="1"/>
        <v>45809</v>
      </c>
      <c r="L8" s="38" t="s">
        <v>137</v>
      </c>
      <c r="M8" s="87">
        <f>100*VLOOKUP($K8,'Infla Mensual PondENGHO'!$A$3:'Infla Mensual PondENGHO'!$A$3:$BP$1000000,COLUMN($BL$1),FALSE)</f>
        <v>1.2950143399720782</v>
      </c>
      <c r="P8">
        <f t="shared" ref="P8:P17" si="4">+IF(Q7=12,P7+1,P7)</f>
        <v>2025</v>
      </c>
      <c r="Q8">
        <f t="shared" ref="Q8:Q17" si="5">+IF(Q7=12,1,Q7+1)</f>
        <v>6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46113</v>
      </c>
      <c r="E9" s="59"/>
      <c r="F9" s="59">
        <f t="shared" si="3"/>
        <v>4</v>
      </c>
      <c r="G9" s="76">
        <f>100*VLOOKUP($D$6,'Infla Mensual PondENGHO'!$A$3:$BP$100000,$C9)</f>
        <v>2.6198987645306149</v>
      </c>
      <c r="H9" s="61">
        <f>100*VLOOKUP($D$6,'Infla Interanual PondENGHO'!$A$3:$BP$100000,$C9)</f>
        <v>32.467904310251193</v>
      </c>
      <c r="I9" s="59"/>
      <c r="K9" s="66">
        <f t="shared" si="1"/>
        <v>45839</v>
      </c>
      <c r="L9" s="38" t="s">
        <v>137</v>
      </c>
      <c r="M9" s="87">
        <f>100*VLOOKUP($K9,'Infla Mensual PondENGHO'!$A$3:'Infla Mensual PondENGHO'!$A$3:$BP$1000000,COLUMN($BL$1),FALSE)</f>
        <v>1.803644664052495</v>
      </c>
      <c r="P9">
        <f t="shared" si="4"/>
        <v>2025</v>
      </c>
      <c r="Q9">
        <f t="shared" si="5"/>
        <v>7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46113</v>
      </c>
      <c r="E10" s="59" t="s">
        <v>131</v>
      </c>
      <c r="F10" s="59">
        <v>5</v>
      </c>
      <c r="G10" s="76">
        <f>100*VLOOKUP($D$6,'Infla Mensual PondENGHO'!$A$3:$BP$100000,$C10)</f>
        <v>2.7062700154520059</v>
      </c>
      <c r="H10" s="61">
        <f>100*VLOOKUP($D$6,'Infla Interanual PondENGHO'!$A$3:$BP$100000,$C10)</f>
        <v>32.685384947578136</v>
      </c>
      <c r="I10" s="59"/>
      <c r="K10" s="66">
        <f t="shared" si="1"/>
        <v>45870</v>
      </c>
      <c r="L10" s="38" t="s">
        <v>137</v>
      </c>
      <c r="M10" s="87">
        <f>100*VLOOKUP($K10,'Infla Mensual PondENGHO'!$A$3:'Infla Mensual PondENGHO'!$A$3:$BP$1000000,COLUMN($BL$1),FALSE)</f>
        <v>1.7303095323675466</v>
      </c>
      <c r="P10">
        <f t="shared" si="4"/>
        <v>2025</v>
      </c>
      <c r="Q10">
        <f t="shared" si="5"/>
        <v>8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45901</v>
      </c>
      <c r="L11" s="38" t="s">
        <v>137</v>
      </c>
      <c r="M11" s="87">
        <f>100*VLOOKUP($K11,'Infla Mensual PondENGHO'!$A$3:'Infla Mensual PondENGHO'!$A$3:$BP$1000000,COLUMN($BL$1),FALSE)</f>
        <v>2.0373502502535779</v>
      </c>
      <c r="P11">
        <f t="shared" si="4"/>
        <v>2025</v>
      </c>
      <c r="Q11">
        <f t="shared" si="5"/>
        <v>9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-0.33564255992792891</v>
      </c>
      <c r="H12" s="77">
        <f t="shared" ref="H12" si="7">+H6-H10</f>
        <v>-0.77759315561834086</v>
      </c>
      <c r="I12" s="59"/>
      <c r="K12" s="66">
        <f t="shared" si="1"/>
        <v>45931</v>
      </c>
      <c r="L12" s="38" t="s">
        <v>137</v>
      </c>
      <c r="M12" s="87">
        <f>100*VLOOKUP($K12,'Infla Mensual PondENGHO'!$A$3:'Infla Mensual PondENGHO'!$A$3:$BP$1000000,COLUMN($BL$1),FALSE)</f>
        <v>2.312266576693256</v>
      </c>
      <c r="P12">
        <f t="shared" si="4"/>
        <v>2025</v>
      </c>
      <c r="Q12">
        <f t="shared" si="5"/>
        <v>10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45962</v>
      </c>
      <c r="L13" s="38" t="s">
        <v>137</v>
      </c>
      <c r="M13" s="87">
        <f>100*VLOOKUP($K13,'Infla Mensual PondENGHO'!$A$3:'Infla Mensual PondENGHO'!$A$3:$BP$1000000,COLUMN($BL$1),FALSE)</f>
        <v>2.4974389921325058</v>
      </c>
      <c r="P13">
        <f t="shared" si="4"/>
        <v>2025</v>
      </c>
      <c r="Q13">
        <f t="shared" si="5"/>
        <v>11</v>
      </c>
      <c r="S13">
        <f t="shared" si="6"/>
        <v>8</v>
      </c>
    </row>
    <row r="14" spans="1:19" x14ac:dyDescent="0.25">
      <c r="K14" s="66">
        <f t="shared" si="1"/>
        <v>45992</v>
      </c>
      <c r="L14" s="38" t="s">
        <v>137</v>
      </c>
      <c r="M14" s="87">
        <f>100*VLOOKUP($K14,'Infla Mensual PondENGHO'!$A$3:'Infla Mensual PondENGHO'!$A$3:$BP$1000000,COLUMN($BL$1),FALSE)</f>
        <v>2.9231360334402323</v>
      </c>
      <c r="P14">
        <f t="shared" si="4"/>
        <v>2025</v>
      </c>
      <c r="Q14">
        <f t="shared" si="5"/>
        <v>12</v>
      </c>
      <c r="S14">
        <f t="shared" si="6"/>
        <v>9</v>
      </c>
    </row>
    <row r="15" spans="1:19" x14ac:dyDescent="0.25">
      <c r="K15" s="66">
        <f t="shared" si="1"/>
        <v>46023</v>
      </c>
      <c r="L15" s="38" t="s">
        <v>137</v>
      </c>
      <c r="M15" s="87">
        <f>100*VLOOKUP($K15,'Infla Mensual PondENGHO'!$A$3:'Infla Mensual PondENGHO'!$A$3:$BP$1000000,COLUMN($BL$1),FALSE)</f>
        <v>3.2018697348702219</v>
      </c>
      <c r="P15">
        <f t="shared" si="4"/>
        <v>2026</v>
      </c>
      <c r="Q15">
        <f t="shared" si="5"/>
        <v>1</v>
      </c>
      <c r="S15">
        <f t="shared" si="6"/>
        <v>10</v>
      </c>
    </row>
    <row r="16" spans="1:19" x14ac:dyDescent="0.25">
      <c r="K16" s="66">
        <f t="shared" si="1"/>
        <v>46054</v>
      </c>
      <c r="L16" s="38" t="s">
        <v>137</v>
      </c>
      <c r="M16" s="87">
        <f>100*VLOOKUP($K16,'Infla Mensual PondENGHO'!$A$3:'Infla Mensual PondENGHO'!$A$3:$BP$1000000,COLUMN($BL$1),FALSE)</f>
        <v>3.1290464977332455</v>
      </c>
      <c r="P16">
        <f t="shared" si="4"/>
        <v>2026</v>
      </c>
      <c r="Q16">
        <f t="shared" si="5"/>
        <v>2</v>
      </c>
      <c r="S16">
        <f t="shared" si="6"/>
        <v>11</v>
      </c>
    </row>
    <row r="17" spans="8:19" x14ac:dyDescent="0.25">
      <c r="K17" s="66">
        <f t="shared" si="1"/>
        <v>46082</v>
      </c>
      <c r="L17" s="38" t="s">
        <v>137</v>
      </c>
      <c r="M17" s="87">
        <f>100*VLOOKUP($K17,'Infla Mensual PondENGHO'!$A$3:'Infla Mensual PondENGHO'!$A$3:$BP$1000000,COLUMN($BL$1),FALSE)</f>
        <v>3.4687104392262524</v>
      </c>
      <c r="P17">
        <f t="shared" si="4"/>
        <v>2026</v>
      </c>
      <c r="Q17">
        <f t="shared" si="5"/>
        <v>3</v>
      </c>
      <c r="S17">
        <f t="shared" si="6"/>
        <v>12</v>
      </c>
    </row>
    <row r="18" spans="8:19" x14ac:dyDescent="0.25">
      <c r="K18" s="66">
        <f t="shared" si="1"/>
        <v>46113</v>
      </c>
      <c r="L18" s="38" t="s">
        <v>137</v>
      </c>
      <c r="M18" s="87">
        <f>100*VLOOKUP($K18,'Infla Mensual PondENGHO'!$A$3:'Infla Mensual PondENGHO'!$A$3:$BP$1000000,COLUMN($BL$1),FALSE)</f>
        <v>2.3706274555240769</v>
      </c>
      <c r="P18">
        <f t="shared" ref="P18" si="8">+IF(Q17=12,P17+1,P17)</f>
        <v>2026</v>
      </c>
      <c r="Q18">
        <f t="shared" ref="Q18" si="9">+IF(Q17=12,1,Q17+1)</f>
        <v>4</v>
      </c>
      <c r="S18">
        <f t="shared" ref="S18" si="10">+S17+1</f>
        <v>13</v>
      </c>
    </row>
    <row r="19" spans="8:19" x14ac:dyDescent="0.25">
      <c r="K19" s="66">
        <f>+K6</f>
        <v>45748</v>
      </c>
      <c r="L19" s="38" t="s">
        <v>138</v>
      </c>
      <c r="M19" s="87">
        <f>100*VLOOKUP($K19,'Infla Mensual PondENGHO'!$A$3:'Infla Mensual PondENGHO'!$A$3:$BP$1000000,COLUMN($BM$1),FALSE)</f>
        <v>2.8020849967455463</v>
      </c>
    </row>
    <row r="20" spans="8:19" x14ac:dyDescent="0.25">
      <c r="K20" s="66">
        <f t="shared" ref="K20:K70" si="11">+K7</f>
        <v>45778</v>
      </c>
      <c r="L20" s="38" t="s">
        <v>138</v>
      </c>
      <c r="M20" s="87">
        <f>100*VLOOKUP($K20,'Infla Mensual PondENGHO'!$A$3:'Infla Mensual PondENGHO'!$A$3:$BP$1000000,COLUMN($BM$1),FALSE)</f>
        <v>1.3733404112175052</v>
      </c>
    </row>
    <row r="21" spans="8:19" x14ac:dyDescent="0.25">
      <c r="K21" s="66">
        <f t="shared" si="11"/>
        <v>45809</v>
      </c>
      <c r="L21" s="38" t="s">
        <v>138</v>
      </c>
      <c r="M21" s="87">
        <f>100*VLOOKUP($K21,'Infla Mensual PondENGHO'!$A$3:'Infla Mensual PondENGHO'!$A$3:$BP$1000000,COLUMN($BM$1),FALSE)</f>
        <v>1.4541447415141295</v>
      </c>
    </row>
    <row r="22" spans="8:19" x14ac:dyDescent="0.25">
      <c r="H22" s="58"/>
      <c r="K22" s="66">
        <f t="shared" si="11"/>
        <v>45839</v>
      </c>
      <c r="L22" s="38" t="s">
        <v>138</v>
      </c>
      <c r="M22" s="87">
        <f>100*VLOOKUP($K22,'Infla Mensual PondENGHO'!$A$3:'Infla Mensual PondENGHO'!$A$3:$BP$1000000,COLUMN($BM$1),FALSE)</f>
        <v>1.856971382087691</v>
      </c>
    </row>
    <row r="23" spans="8:19" x14ac:dyDescent="0.25">
      <c r="K23" s="66">
        <f t="shared" si="11"/>
        <v>45870</v>
      </c>
      <c r="L23" s="38" t="s">
        <v>138</v>
      </c>
      <c r="M23" s="87">
        <f>100*VLOOKUP($K23,'Infla Mensual PondENGHO'!$A$3:'Infla Mensual PondENGHO'!$A$3:$BP$1000000,COLUMN($BM$1),FALSE)</f>
        <v>1.8475699510283272</v>
      </c>
    </row>
    <row r="24" spans="8:19" x14ac:dyDescent="0.25">
      <c r="K24" s="66">
        <f t="shared" si="11"/>
        <v>45901</v>
      </c>
      <c r="L24" s="38" t="s">
        <v>138</v>
      </c>
      <c r="M24" s="87">
        <f>100*VLOOKUP($K24,'Infla Mensual PondENGHO'!$A$3:'Infla Mensual PondENGHO'!$A$3:$BP$1000000,COLUMN($BM$1),FALSE)</f>
        <v>2.0784270904638857</v>
      </c>
    </row>
    <row r="25" spans="8:19" x14ac:dyDescent="0.25">
      <c r="K25" s="66">
        <f t="shared" si="11"/>
        <v>45931</v>
      </c>
      <c r="L25" s="38" t="s">
        <v>138</v>
      </c>
      <c r="M25" s="87">
        <f>100*VLOOKUP($K25,'Infla Mensual PondENGHO'!$A$3:'Infla Mensual PondENGHO'!$A$3:$BP$1000000,COLUMN($BM$1),FALSE)</f>
        <v>2.34032582024577</v>
      </c>
    </row>
    <row r="26" spans="8:19" x14ac:dyDescent="0.25">
      <c r="K26" s="66">
        <f t="shared" si="11"/>
        <v>45962</v>
      </c>
      <c r="L26" s="38" t="s">
        <v>138</v>
      </c>
      <c r="M26" s="87">
        <f>100*VLOOKUP($K26,'Infla Mensual PondENGHO'!$A$3:'Infla Mensual PondENGHO'!$A$3:$BP$1000000,COLUMN($BM$1),FALSE)</f>
        <v>2.489415958118002</v>
      </c>
    </row>
    <row r="27" spans="8:19" x14ac:dyDescent="0.25">
      <c r="K27" s="66">
        <f t="shared" si="11"/>
        <v>45992</v>
      </c>
      <c r="L27" s="38" t="s">
        <v>138</v>
      </c>
      <c r="M27" s="87">
        <f>100*VLOOKUP($K27,'Infla Mensual PondENGHO'!$A$3:'Infla Mensual PondENGHO'!$A$3:$BP$1000000,COLUMN($BM$1),FALSE)</f>
        <v>2.8808734356978949</v>
      </c>
    </row>
    <row r="28" spans="8:19" x14ac:dyDescent="0.25">
      <c r="K28" s="66">
        <f t="shared" si="11"/>
        <v>46023</v>
      </c>
      <c r="L28" s="38" t="s">
        <v>138</v>
      </c>
      <c r="M28" s="87">
        <f>100*VLOOKUP($K28,'Infla Mensual PondENGHO'!$A$3:'Infla Mensual PondENGHO'!$A$3:$BP$1000000,COLUMN($BM$1),FALSE)</f>
        <v>3.0184803261636306</v>
      </c>
    </row>
    <row r="29" spans="8:19" x14ac:dyDescent="0.25">
      <c r="K29" s="66">
        <f t="shared" si="11"/>
        <v>46054</v>
      </c>
      <c r="L29" s="38" t="s">
        <v>138</v>
      </c>
      <c r="M29" s="87">
        <f>100*VLOOKUP($K29,'Infla Mensual PondENGHO'!$A$3:'Infla Mensual PondENGHO'!$A$3:$BP$1000000,COLUMN($BM$1),FALSE)</f>
        <v>3.0192658253989535</v>
      </c>
    </row>
    <row r="30" spans="8:19" x14ac:dyDescent="0.25">
      <c r="K30" s="66">
        <f t="shared" si="11"/>
        <v>46082</v>
      </c>
      <c r="L30" s="38" t="s">
        <v>138</v>
      </c>
      <c r="M30" s="87">
        <f>100*VLOOKUP($K30,'Infla Mensual PondENGHO'!$A$3:'Infla Mensual PondENGHO'!$A$3:$BP$1000000,COLUMN($BM$1),FALSE)</f>
        <v>3.422480242596615</v>
      </c>
    </row>
    <row r="31" spans="8:19" x14ac:dyDescent="0.25">
      <c r="K31" s="66">
        <f t="shared" si="11"/>
        <v>46113</v>
      </c>
      <c r="L31" s="38" t="s">
        <v>138</v>
      </c>
      <c r="M31" s="87">
        <f>100*VLOOKUP($K31,'Infla Mensual PondENGHO'!$A$3:'Infla Mensual PondENGHO'!$A$3:$BP$1000000,COLUMN($BM$1),FALSE)</f>
        <v>2.5002570324790474</v>
      </c>
    </row>
    <row r="32" spans="8:19" x14ac:dyDescent="0.25">
      <c r="K32" s="66">
        <f t="shared" si="11"/>
        <v>45748</v>
      </c>
      <c r="L32" s="38" t="s">
        <v>139</v>
      </c>
      <c r="M32" s="87">
        <f>100*VLOOKUP($K32,'Infla Mensual PondENGHO'!$A$3:'Infla Mensual PondENGHO'!$A$3:$BP$1000000,COLUMN($BN$1),FALSE)</f>
        <v>2.7920156390233597</v>
      </c>
    </row>
    <row r="33" spans="11:13" x14ac:dyDescent="0.25">
      <c r="K33" s="66">
        <f t="shared" si="11"/>
        <v>45778</v>
      </c>
      <c r="L33" s="38" t="s">
        <v>139</v>
      </c>
      <c r="M33" s="87">
        <f>100*VLOOKUP($K33,'Infla Mensual PondENGHO'!$A$3:'Infla Mensual PondENGHO'!$A$3:$BP$1000000,COLUMN($BN$1),FALSE)</f>
        <v>1.4599080955532528</v>
      </c>
    </row>
    <row r="34" spans="11:13" x14ac:dyDescent="0.25">
      <c r="K34" s="66">
        <f t="shared" si="11"/>
        <v>45809</v>
      </c>
      <c r="L34" s="38" t="s">
        <v>139</v>
      </c>
      <c r="M34" s="87">
        <f>100*VLOOKUP($K34,'Infla Mensual PondENGHO'!$A$3:'Infla Mensual PondENGHO'!$A$3:$BP$1000000,COLUMN($BN$1),FALSE)</f>
        <v>1.5219308921756269</v>
      </c>
    </row>
    <row r="35" spans="11:13" x14ac:dyDescent="0.25">
      <c r="K35" s="66">
        <f t="shared" si="11"/>
        <v>45839</v>
      </c>
      <c r="L35" s="38" t="s">
        <v>139</v>
      </c>
      <c r="M35" s="87">
        <f>100*VLOOKUP($K35,'Infla Mensual PondENGHO'!$A$3:'Infla Mensual PondENGHO'!$A$3:$BP$1000000,COLUMN($BN$1),FALSE)</f>
        <v>1.8732068346340558</v>
      </c>
    </row>
    <row r="36" spans="11:13" x14ac:dyDescent="0.25">
      <c r="K36" s="66">
        <f t="shared" si="11"/>
        <v>45870</v>
      </c>
      <c r="L36" s="38" t="s">
        <v>139</v>
      </c>
      <c r="M36" s="87">
        <f>100*VLOOKUP($K36,'Infla Mensual PondENGHO'!$A$3:'Infla Mensual PondENGHO'!$A$3:$BP$1000000,COLUMN($BN$1),FALSE)</f>
        <v>1.8536726191060948</v>
      </c>
    </row>
    <row r="37" spans="11:13" x14ac:dyDescent="0.25">
      <c r="K37" s="66">
        <f t="shared" si="11"/>
        <v>45901</v>
      </c>
      <c r="L37" s="38" t="s">
        <v>139</v>
      </c>
      <c r="M37" s="87">
        <f>100*VLOOKUP($K37,'Infla Mensual PondENGHO'!$A$3:'Infla Mensual PondENGHO'!$A$3:$BP$1000000,COLUMN($BN$1),FALSE)</f>
        <v>2.0891709320997265</v>
      </c>
    </row>
    <row r="38" spans="11:13" x14ac:dyDescent="0.25">
      <c r="K38" s="66">
        <f t="shared" si="11"/>
        <v>45931</v>
      </c>
      <c r="L38" s="38" t="s">
        <v>139</v>
      </c>
      <c r="M38" s="87">
        <f>100*VLOOKUP($K38,'Infla Mensual PondENGHO'!$A$3:'Infla Mensual PondENGHO'!$A$3:$BP$1000000,COLUMN($BN$1),FALSE)</f>
        <v>2.3415086838504795</v>
      </c>
    </row>
    <row r="39" spans="11:13" x14ac:dyDescent="0.25">
      <c r="K39" s="66">
        <f t="shared" si="11"/>
        <v>45962</v>
      </c>
      <c r="L39" s="38" t="s">
        <v>139</v>
      </c>
      <c r="M39" s="87">
        <f>100*VLOOKUP($K39,'Infla Mensual PondENGHO'!$A$3:'Infla Mensual PondENGHO'!$A$3:$BP$1000000,COLUMN($BN$1),FALSE)</f>
        <v>2.4852827280616552</v>
      </c>
    </row>
    <row r="40" spans="11:13" x14ac:dyDescent="0.25">
      <c r="K40" s="66">
        <f t="shared" si="11"/>
        <v>45992</v>
      </c>
      <c r="L40" s="38" t="s">
        <v>139</v>
      </c>
      <c r="M40" s="87">
        <f>100*VLOOKUP($K40,'Infla Mensual PondENGHO'!$A$3:'Infla Mensual PondENGHO'!$A$3:$BP$1000000,COLUMN($BN$1),FALSE)</f>
        <v>2.8292014605382887</v>
      </c>
    </row>
    <row r="41" spans="11:13" x14ac:dyDescent="0.25">
      <c r="K41" s="66">
        <f t="shared" si="11"/>
        <v>46023</v>
      </c>
      <c r="L41" s="38" t="s">
        <v>139</v>
      </c>
      <c r="M41" s="87">
        <f>100*VLOOKUP($K41,'Infla Mensual PondENGHO'!$A$3:'Infla Mensual PondENGHO'!$A$3:$BP$1000000,COLUMN($BN$1),FALSE)</f>
        <v>2.9644033619464327</v>
      </c>
    </row>
    <row r="42" spans="11:13" x14ac:dyDescent="0.25">
      <c r="K42" s="66">
        <f t="shared" si="11"/>
        <v>46054</v>
      </c>
      <c r="L42" s="38" t="s">
        <v>139</v>
      </c>
      <c r="M42" s="87">
        <f>100*VLOOKUP($K42,'Infla Mensual PondENGHO'!$A$3:'Infla Mensual PondENGHO'!$A$3:$BP$1000000,COLUMN($BN$1),FALSE)</f>
        <v>2.9613529374970637</v>
      </c>
    </row>
    <row r="43" spans="11:13" x14ac:dyDescent="0.25">
      <c r="K43" s="66">
        <f t="shared" si="11"/>
        <v>46082</v>
      </c>
      <c r="L43" s="38" t="s">
        <v>139</v>
      </c>
      <c r="M43" s="87">
        <f>100*VLOOKUP($K43,'Infla Mensual PondENGHO'!$A$3:'Infla Mensual PondENGHO'!$A$3:$BP$1000000,COLUMN($BN$1),FALSE)</f>
        <v>3.3799107064210743</v>
      </c>
    </row>
    <row r="44" spans="11:13" x14ac:dyDescent="0.25">
      <c r="K44" s="66">
        <f t="shared" si="11"/>
        <v>46113</v>
      </c>
      <c r="L44" s="38" t="s">
        <v>139</v>
      </c>
      <c r="M44" s="87">
        <f>100*VLOOKUP($K44,'Infla Mensual PondENGHO'!$A$3:'Infla Mensual PondENGHO'!$A$3:$BP$1000000,COLUMN($BN$1),FALSE)</f>
        <v>2.5256629303020084</v>
      </c>
    </row>
    <row r="45" spans="11:13" x14ac:dyDescent="0.25">
      <c r="K45" s="66">
        <f t="shared" si="11"/>
        <v>45748</v>
      </c>
      <c r="L45" s="38" t="s">
        <v>140</v>
      </c>
      <c r="M45" s="87">
        <f>100*VLOOKUP($K45,'Infla Mensual PondENGHO'!$A$3:'Infla Mensual PondENGHO'!$A$3:$BP$1000000,COLUMN($BO$1),FALSE)</f>
        <v>2.7676350255949611</v>
      </c>
    </row>
    <row r="46" spans="11:13" x14ac:dyDescent="0.25">
      <c r="K46" s="66">
        <f t="shared" si="11"/>
        <v>45778</v>
      </c>
      <c r="L46" s="38" t="s">
        <v>140</v>
      </c>
      <c r="M46" s="87">
        <f>100*VLOOKUP($K46,'Infla Mensual PondENGHO'!$A$3:'Infla Mensual PondENGHO'!$A$3:$BP$1000000,COLUMN($BO$1),FALSE)</f>
        <v>1.5163439517204891</v>
      </c>
    </row>
    <row r="47" spans="11:13" x14ac:dyDescent="0.25">
      <c r="K47" s="66">
        <f t="shared" si="11"/>
        <v>45809</v>
      </c>
      <c r="L47" s="38" t="s">
        <v>140</v>
      </c>
      <c r="M47" s="87">
        <f>100*VLOOKUP($K47,'Infla Mensual PondENGHO'!$A$3:'Infla Mensual PondENGHO'!$A$3:$BP$1000000,COLUMN($BO$1),FALSE)</f>
        <v>1.6314289096683643</v>
      </c>
    </row>
    <row r="48" spans="11:13" x14ac:dyDescent="0.25">
      <c r="K48" s="66">
        <f t="shared" si="11"/>
        <v>45839</v>
      </c>
      <c r="L48" s="38" t="s">
        <v>140</v>
      </c>
      <c r="M48" s="87">
        <f>100*VLOOKUP($K48,'Infla Mensual PondENGHO'!$A$3:'Infla Mensual PondENGHO'!$A$3:$BP$1000000,COLUMN($BO$1),FALSE)</f>
        <v>1.9287987231903614</v>
      </c>
    </row>
    <row r="49" spans="11:13" x14ac:dyDescent="0.25">
      <c r="K49" s="66">
        <f t="shared" si="11"/>
        <v>45870</v>
      </c>
      <c r="L49" s="38" t="s">
        <v>140</v>
      </c>
      <c r="M49" s="87">
        <f>100*VLOOKUP($K49,'Infla Mensual PondENGHO'!$A$3:'Infla Mensual PondENGHO'!$A$3:$BP$1000000,COLUMN($BO$1),FALSE)</f>
        <v>1.9263572562809195</v>
      </c>
    </row>
    <row r="50" spans="11:13" x14ac:dyDescent="0.25">
      <c r="K50" s="66">
        <f t="shared" si="11"/>
        <v>45901</v>
      </c>
      <c r="L50" s="38" t="s">
        <v>140</v>
      </c>
      <c r="M50" s="87">
        <f>100*VLOOKUP($K50,'Infla Mensual PondENGHO'!$A$3:'Infla Mensual PondENGHO'!$A$3:$BP$1000000,COLUMN($BO$1),FALSE)</f>
        <v>2.1056557796722997</v>
      </c>
    </row>
    <row r="51" spans="11:13" x14ac:dyDescent="0.25">
      <c r="K51" s="66">
        <f t="shared" si="11"/>
        <v>45931</v>
      </c>
      <c r="L51" s="38" t="s">
        <v>140</v>
      </c>
      <c r="M51" s="87">
        <f>100*VLOOKUP($K51,'Infla Mensual PondENGHO'!$A$3:'Infla Mensual PondENGHO'!$A$3:$BP$1000000,COLUMN($BO$1),FALSE)</f>
        <v>2.3532995768112963</v>
      </c>
    </row>
    <row r="52" spans="11:13" x14ac:dyDescent="0.25">
      <c r="K52" s="66">
        <f t="shared" si="11"/>
        <v>45962</v>
      </c>
      <c r="L52" s="38" t="s">
        <v>140</v>
      </c>
      <c r="M52" s="87">
        <f>100*VLOOKUP($K52,'Infla Mensual PondENGHO'!$A$3:'Infla Mensual PondENGHO'!$A$3:$BP$1000000,COLUMN($BO$1),FALSE)</f>
        <v>2.4748870872465689</v>
      </c>
    </row>
    <row r="53" spans="11:13" x14ac:dyDescent="0.25">
      <c r="K53" s="66">
        <f t="shared" si="11"/>
        <v>45992</v>
      </c>
      <c r="L53" s="38" t="s">
        <v>140</v>
      </c>
      <c r="M53" s="87">
        <f>100*VLOOKUP($K53,'Infla Mensual PondENGHO'!$A$3:'Infla Mensual PondENGHO'!$A$3:$BP$1000000,COLUMN($BO$1),FALSE)</f>
        <v>2.8313516715476661</v>
      </c>
    </row>
    <row r="54" spans="11:13" x14ac:dyDescent="0.25">
      <c r="K54" s="66">
        <f t="shared" si="11"/>
        <v>46023</v>
      </c>
      <c r="L54" s="38" t="s">
        <v>140</v>
      </c>
      <c r="M54" s="87">
        <f>100*VLOOKUP($K54,'Infla Mensual PondENGHO'!$A$3:'Infla Mensual PondENGHO'!$A$3:$BP$1000000,COLUMN($BO$1),FALSE)</f>
        <v>2.8496842715682646</v>
      </c>
    </row>
    <row r="55" spans="11:13" x14ac:dyDescent="0.25">
      <c r="K55" s="66">
        <f t="shared" si="11"/>
        <v>46054</v>
      </c>
      <c r="L55" s="38" t="s">
        <v>140</v>
      </c>
      <c r="M55" s="87">
        <f>100*VLOOKUP($K55,'Infla Mensual PondENGHO'!$A$3:'Infla Mensual PondENGHO'!$A$3:$BP$1000000,COLUMN($BO$1),FALSE)</f>
        <v>2.8686125696586684</v>
      </c>
    </row>
    <row r="56" spans="11:13" x14ac:dyDescent="0.25">
      <c r="K56" s="66">
        <f t="shared" si="11"/>
        <v>46082</v>
      </c>
      <c r="L56" s="38" t="s">
        <v>140</v>
      </c>
      <c r="M56" s="87">
        <f>100*VLOOKUP($K56,'Infla Mensual PondENGHO'!$A$3:'Infla Mensual PondENGHO'!$A$3:$BP$1000000,COLUMN($BO$1),FALSE)</f>
        <v>3.3596880145612129</v>
      </c>
    </row>
    <row r="57" spans="11:13" x14ac:dyDescent="0.25">
      <c r="K57" s="66">
        <f t="shared" si="11"/>
        <v>46113</v>
      </c>
      <c r="L57" s="38" t="s">
        <v>140</v>
      </c>
      <c r="M57" s="87">
        <f>100*VLOOKUP($K57,'Infla Mensual PondENGHO'!$A$3:'Infla Mensual PondENGHO'!$A$3:$BP$1000000,COLUMN($BO$1),FALSE)</f>
        <v>2.6198987645306149</v>
      </c>
    </row>
    <row r="58" spans="11:13" x14ac:dyDescent="0.25">
      <c r="K58" s="66">
        <f t="shared" si="11"/>
        <v>45748</v>
      </c>
      <c r="L58" s="38" t="s">
        <v>141</v>
      </c>
      <c r="M58" s="87">
        <f>100*VLOOKUP($K58,'Infla Mensual PondENGHO'!$A$3:'Infla Mensual PondENGHO'!$A$3:$BP$1000000,COLUMN($BP$1),FALSE)</f>
        <v>2.7452917023244927</v>
      </c>
    </row>
    <row r="59" spans="11:13" x14ac:dyDescent="0.25">
      <c r="K59" s="66">
        <f t="shared" si="11"/>
        <v>45778</v>
      </c>
      <c r="L59" s="38" t="s">
        <v>141</v>
      </c>
      <c r="M59" s="87">
        <f>100*VLOOKUP($K59,'Infla Mensual PondENGHO'!$A$3:'Infla Mensual PondENGHO'!$A$3:$BP$1000000,COLUMN($BP$1),FALSE)</f>
        <v>1.6435099364626282</v>
      </c>
    </row>
    <row r="60" spans="11:13" x14ac:dyDescent="0.25">
      <c r="K60" s="66">
        <f t="shared" si="11"/>
        <v>45809</v>
      </c>
      <c r="L60" s="38" t="s">
        <v>141</v>
      </c>
      <c r="M60" s="87">
        <f>100*VLOOKUP($K60,'Infla Mensual PondENGHO'!$A$3:'Infla Mensual PondENGHO'!$A$3:$BP$1000000,COLUMN($BP$1),FALSE)</f>
        <v>1.8209352879243301</v>
      </c>
    </row>
    <row r="61" spans="11:13" x14ac:dyDescent="0.25">
      <c r="K61" s="66">
        <f t="shared" si="11"/>
        <v>45839</v>
      </c>
      <c r="L61" s="38" t="s">
        <v>141</v>
      </c>
      <c r="M61" s="87">
        <f>100*VLOOKUP($K61,'Infla Mensual PondENGHO'!$A$3:'Infla Mensual PondENGHO'!$A$3:$BP$1000000,COLUMN($BP$1),FALSE)</f>
        <v>1.9805482283514531</v>
      </c>
    </row>
    <row r="62" spans="11:13" x14ac:dyDescent="0.25">
      <c r="K62" s="66">
        <f t="shared" si="11"/>
        <v>45870</v>
      </c>
      <c r="L62" s="38" t="s">
        <v>141</v>
      </c>
      <c r="M62" s="87">
        <f>100*VLOOKUP($K62,'Infla Mensual PondENGHO'!$A$3:'Infla Mensual PondENGHO'!$A$3:$BP$1000000,COLUMN($BP$1),FALSE)</f>
        <v>1.9529831860293001</v>
      </c>
    </row>
    <row r="63" spans="11:13" x14ac:dyDescent="0.25">
      <c r="K63" s="66">
        <f t="shared" si="11"/>
        <v>45901</v>
      </c>
      <c r="L63" s="38" t="s">
        <v>141</v>
      </c>
      <c r="M63" s="87">
        <f>100*VLOOKUP($K63,'Infla Mensual PondENGHO'!$A$3:'Infla Mensual PondENGHO'!$A$3:$BP$1000000,COLUMN($BP$1),FALSE)</f>
        <v>2.1050594042087312</v>
      </c>
    </row>
    <row r="64" spans="11:13" x14ac:dyDescent="0.25">
      <c r="K64" s="66">
        <f t="shared" si="11"/>
        <v>45931</v>
      </c>
      <c r="L64" s="38" t="s">
        <v>141</v>
      </c>
      <c r="M64" s="87">
        <f>100*VLOOKUP($K64,'Infla Mensual PondENGHO'!$A$3:'Infla Mensual PondENGHO'!$A$3:$BP$1000000,COLUMN($BP$1),FALSE)</f>
        <v>2.3412916233022996</v>
      </c>
    </row>
    <row r="65" spans="11:13" x14ac:dyDescent="0.25">
      <c r="K65" s="66">
        <f t="shared" si="11"/>
        <v>45962</v>
      </c>
      <c r="L65" s="38" t="s">
        <v>141</v>
      </c>
      <c r="M65" s="87">
        <f>100*VLOOKUP($K65,'Infla Mensual PondENGHO'!$A$3:'Infla Mensual PondENGHO'!$A$3:$BP$1000000,COLUMN($BP$1),FALSE)</f>
        <v>2.4563295754381542</v>
      </c>
    </row>
    <row r="66" spans="11:13" x14ac:dyDescent="0.25">
      <c r="K66" s="66">
        <f t="shared" si="11"/>
        <v>45992</v>
      </c>
      <c r="L66" s="38" t="s">
        <v>141</v>
      </c>
      <c r="M66" s="87">
        <f>100*VLOOKUP($K66,'Infla Mensual PondENGHO'!$A$3:'Infla Mensual PondENGHO'!$A$3:$BP$1000000,COLUMN($BP$1),FALSE)</f>
        <v>2.7861004716862148</v>
      </c>
    </row>
    <row r="67" spans="11:13" x14ac:dyDescent="0.25">
      <c r="K67" s="66">
        <f t="shared" si="11"/>
        <v>46023</v>
      </c>
      <c r="L67" s="38" t="s">
        <v>141</v>
      </c>
      <c r="M67" s="87">
        <f>100*VLOOKUP($K67,'Infla Mensual PondENGHO'!$A$3:'Infla Mensual PondENGHO'!$A$3:$BP$1000000,COLUMN($BP$1),FALSE)</f>
        <v>2.7163190275482085</v>
      </c>
    </row>
    <row r="68" spans="11:13" x14ac:dyDescent="0.25">
      <c r="K68" s="66">
        <f t="shared" si="11"/>
        <v>46054</v>
      </c>
      <c r="L68" s="38" t="s">
        <v>141</v>
      </c>
      <c r="M68" s="87">
        <f>100*VLOOKUP($K68,'Infla Mensual PondENGHO'!$A$3:'Infla Mensual PondENGHO'!$A$3:$BP$1000000,COLUMN($BP$1),FALSE)</f>
        <v>2.8173342837580106</v>
      </c>
    </row>
    <row r="69" spans="11:13" x14ac:dyDescent="0.25">
      <c r="K69" s="66">
        <f t="shared" si="11"/>
        <v>46082</v>
      </c>
      <c r="L69" s="38" t="s">
        <v>141</v>
      </c>
      <c r="M69" s="87">
        <f>100*VLOOKUP($K69,'Infla Mensual PondENGHO'!$A$3:'Infla Mensual PondENGHO'!$A$3:$BP$1000000,COLUMN($BP$1),FALSE)</f>
        <v>3.3034887479768793</v>
      </c>
    </row>
    <row r="70" spans="11:13" x14ac:dyDescent="0.25">
      <c r="K70" s="66">
        <f t="shared" si="11"/>
        <v>46113</v>
      </c>
      <c r="L70" s="38" t="s">
        <v>141</v>
      </c>
      <c r="M70" s="87">
        <f>100*VLOOKUP($K70,'Infla Mensual PondENGHO'!$A$3:'Infla Mensual PondENGHO'!$A$3:$BP$1000000,COLUMN($BP$1),FALSE)</f>
        <v>2.7062700154520059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tabSelected="1" zoomScaleNormal="10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2026-05-14T19:38:01Z</dcterms:modified>
</cp:coreProperties>
</file>