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C8A51C42-598F-4EB1-AC47-654FCD21D115}" xr6:coauthVersionLast="47" xr6:coauthVersionMax="47" xr10:uidLastSave="{00000000-0000-0000-0000-000000000000}"/>
  <bookViews>
    <workbookView xWindow="-120" yWindow="-120" windowWidth="20730" windowHeight="11040" tabRatio="880" firstSheet="2" activeTab="2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13" i="3" l="1"/>
  <c r="BX113" i="3"/>
  <c r="BQ113" i="3"/>
  <c r="BP113" i="3"/>
  <c r="BI113" i="3"/>
  <c r="BH113" i="3"/>
  <c r="BA113" i="3"/>
  <c r="AZ113" i="3"/>
  <c r="AS113" i="3"/>
  <c r="AR113" i="3"/>
  <c r="AK113" i="3"/>
  <c r="AJ113" i="3"/>
  <c r="AC113" i="3"/>
  <c r="AB113" i="3"/>
  <c r="U113" i="3"/>
  <c r="T113" i="3"/>
  <c r="M113" i="3"/>
  <c r="L113" i="3"/>
  <c r="E113" i="3"/>
  <c r="D113" i="3"/>
  <c r="B113" i="3"/>
  <c r="C113" i="3" s="1"/>
  <c r="A113" i="3" s="1"/>
  <c r="AP114" i="14"/>
  <c r="AO114" i="14"/>
  <c r="AH114" i="14"/>
  <c r="AG114" i="14"/>
  <c r="O114" i="14"/>
  <c r="N114" i="14"/>
  <c r="G114" i="14"/>
  <c r="F114" i="14"/>
  <c r="C114" i="14"/>
  <c r="C113" i="2"/>
  <c r="B113" i="2"/>
  <c r="CD111" i="1"/>
  <c r="CD113" i="3" s="1"/>
  <c r="CC111" i="1"/>
  <c r="CC113" i="3" s="1"/>
  <c r="CB111" i="1"/>
  <c r="CB113" i="3" s="1"/>
  <c r="CA111" i="1"/>
  <c r="CA113" i="3" s="1"/>
  <c r="BZ111" i="1"/>
  <c r="BZ113" i="3" s="1"/>
  <c r="BY111" i="1"/>
  <c r="BY113" i="2" s="1"/>
  <c r="BX111" i="1"/>
  <c r="BX113" i="2" s="1"/>
  <c r="BW111" i="1"/>
  <c r="BW113" i="2" s="1"/>
  <c r="BV111" i="1"/>
  <c r="BV113" i="3" s="1"/>
  <c r="BU111" i="1"/>
  <c r="BU113" i="3" s="1"/>
  <c r="BT111" i="1"/>
  <c r="BT113" i="3" s="1"/>
  <c r="BS111" i="1"/>
  <c r="BS113" i="3" s="1"/>
  <c r="BR111" i="1"/>
  <c r="BR113" i="3" s="1"/>
  <c r="BQ111" i="1"/>
  <c r="BQ113" i="2" s="1"/>
  <c r="BP111" i="1"/>
  <c r="BP113" i="2" s="1"/>
  <c r="BO111" i="1"/>
  <c r="BO113" i="2" s="1"/>
  <c r="BN111" i="1"/>
  <c r="BN113" i="3" s="1"/>
  <c r="BM111" i="1"/>
  <c r="BM113" i="3" s="1"/>
  <c r="BL111" i="1"/>
  <c r="BL113" i="3" s="1"/>
  <c r="CF113" i="3" s="1"/>
  <c r="BK111" i="1"/>
  <c r="BK113" i="3" s="1"/>
  <c r="BJ111" i="1"/>
  <c r="BJ113" i="3" s="1"/>
  <c r="BI111" i="1"/>
  <c r="BI113" i="2" s="1"/>
  <c r="BH111" i="1"/>
  <c r="AM114" i="14" s="1"/>
  <c r="BG111" i="1"/>
  <c r="AL114" i="14" s="1"/>
  <c r="BF111" i="1"/>
  <c r="BF113" i="3" s="1"/>
  <c r="BE111" i="1"/>
  <c r="BE113" i="3" s="1"/>
  <c r="BD111" i="1"/>
  <c r="BD113" i="3" s="1"/>
  <c r="BC111" i="1"/>
  <c r="BC113" i="3" s="1"/>
  <c r="BB111" i="1"/>
  <c r="BB113" i="3" s="1"/>
  <c r="BA111" i="1"/>
  <c r="BA113" i="2" s="1"/>
  <c r="AZ111" i="1"/>
  <c r="AE114" i="14" s="1"/>
  <c r="AY111" i="1"/>
  <c r="AY113" i="2" s="1"/>
  <c r="AX111" i="1"/>
  <c r="AX113" i="3" s="1"/>
  <c r="AW111" i="1"/>
  <c r="AW113" i="3" s="1"/>
  <c r="AV111" i="1"/>
  <c r="AV113" i="3" s="1"/>
  <c r="AU111" i="1"/>
  <c r="AU113" i="3" s="1"/>
  <c r="AT111" i="1"/>
  <c r="AT113" i="3" s="1"/>
  <c r="AS111" i="1"/>
  <c r="AS113" i="2" s="1"/>
  <c r="AR111" i="1"/>
  <c r="AR113" i="2" s="1"/>
  <c r="AQ111" i="1"/>
  <c r="AQ113" i="2" s="1"/>
  <c r="AP111" i="1"/>
  <c r="AP113" i="3" s="1"/>
  <c r="AO111" i="1"/>
  <c r="AO113" i="3" s="1"/>
  <c r="AN111" i="1"/>
  <c r="AN113" i="3" s="1"/>
  <c r="AM111" i="1"/>
  <c r="AM113" i="3" s="1"/>
  <c r="AL111" i="1"/>
  <c r="AL113" i="3" s="1"/>
  <c r="AK111" i="1"/>
  <c r="AK113" i="2" s="1"/>
  <c r="AJ111" i="1"/>
  <c r="AJ113" i="2" s="1"/>
  <c r="AI111" i="1"/>
  <c r="AI113" i="2" s="1"/>
  <c r="AH111" i="1"/>
  <c r="AH113" i="3" s="1"/>
  <c r="AG111" i="1"/>
  <c r="AG113" i="3" s="1"/>
  <c r="AF111" i="1"/>
  <c r="AF113" i="3" s="1"/>
  <c r="AE111" i="1"/>
  <c r="AE113" i="3" s="1"/>
  <c r="AD111" i="1"/>
  <c r="AD113" i="3" s="1"/>
  <c r="AC111" i="1"/>
  <c r="AC113" i="2" s="1"/>
  <c r="AB111" i="1"/>
  <c r="AB113" i="2" s="1"/>
  <c r="AA111" i="1"/>
  <c r="AA113" i="2" s="1"/>
  <c r="Z111" i="1"/>
  <c r="Z113" i="3" s="1"/>
  <c r="Y111" i="1"/>
  <c r="Y113" i="3" s="1"/>
  <c r="X111" i="1"/>
  <c r="X113" i="3" s="1"/>
  <c r="W111" i="1"/>
  <c r="W113" i="3" s="1"/>
  <c r="V111" i="1"/>
  <c r="V113" i="3" s="1"/>
  <c r="U111" i="1"/>
  <c r="U113" i="2" s="1"/>
  <c r="T111" i="1"/>
  <c r="T113" i="2" s="1"/>
  <c r="S111" i="1"/>
  <c r="S113" i="2" s="1"/>
  <c r="R111" i="1"/>
  <c r="R113" i="3" s="1"/>
  <c r="Q111" i="1"/>
  <c r="Q113" i="3" s="1"/>
  <c r="P111" i="1"/>
  <c r="P113" i="3" s="1"/>
  <c r="O111" i="1"/>
  <c r="O113" i="3" s="1"/>
  <c r="N111" i="1"/>
  <c r="N113" i="3" s="1"/>
  <c r="M111" i="1"/>
  <c r="M113" i="2" s="1"/>
  <c r="L111" i="1"/>
  <c r="L114" i="14" s="1"/>
  <c r="K111" i="1"/>
  <c r="K114" i="14" s="1"/>
  <c r="J111" i="1"/>
  <c r="J113" i="3" s="1"/>
  <c r="I111" i="1"/>
  <c r="I113" i="3" s="1"/>
  <c r="H111" i="1"/>
  <c r="H113" i="3" s="1"/>
  <c r="G111" i="1"/>
  <c r="G113" i="3" s="1"/>
  <c r="F111" i="1"/>
  <c r="F113" i="3" s="1"/>
  <c r="E111" i="1"/>
  <c r="E113" i="2" s="1"/>
  <c r="D111" i="1"/>
  <c r="D114" i="14" s="1"/>
  <c r="C111" i="1"/>
  <c r="B111" i="1"/>
  <c r="A111" i="1"/>
  <c r="A114" i="14" s="1"/>
  <c r="B112" i="3"/>
  <c r="C112" i="3" s="1"/>
  <c r="A112" i="3" s="1"/>
  <c r="C113" i="14"/>
  <c r="C112" i="2"/>
  <c r="B112" i="2"/>
  <c r="CD110" i="1"/>
  <c r="CC110" i="1"/>
  <c r="CB110" i="1"/>
  <c r="CA110" i="1"/>
  <c r="CA113" i="2" s="1"/>
  <c r="BZ110" i="1"/>
  <c r="BY110" i="1"/>
  <c r="BX110" i="1"/>
  <c r="BW110" i="1"/>
  <c r="BV110" i="1"/>
  <c r="BU110" i="1"/>
  <c r="BT110" i="1"/>
  <c r="BT113" i="2" s="1"/>
  <c r="BS110" i="1"/>
  <c r="BS113" i="2" s="1"/>
  <c r="BR110" i="1"/>
  <c r="BQ110" i="1"/>
  <c r="BP110" i="1"/>
  <c r="AQ113" i="14" s="1"/>
  <c r="BO110" i="1"/>
  <c r="BN110" i="1"/>
  <c r="BM110" i="1"/>
  <c r="BL110" i="1"/>
  <c r="P113" i="14" s="1"/>
  <c r="Q113" i="14" s="1"/>
  <c r="BK110" i="1"/>
  <c r="AP113" i="14" s="1"/>
  <c r="BD113" i="14" s="1"/>
  <c r="BJ110" i="1"/>
  <c r="BI110" i="1"/>
  <c r="AN113" i="14" s="1"/>
  <c r="BH110" i="1"/>
  <c r="BG110" i="1"/>
  <c r="AL113" i="14" s="1"/>
  <c r="BF110" i="1"/>
  <c r="AK113" i="14" s="1"/>
  <c r="BE110" i="1"/>
  <c r="AJ113" i="14" s="1"/>
  <c r="BD110" i="1"/>
  <c r="AI113" i="14" s="1"/>
  <c r="BC110" i="1"/>
  <c r="AH113" i="14" s="1"/>
  <c r="BB110" i="1"/>
  <c r="BA110" i="1"/>
  <c r="AF113" i="14" s="1"/>
  <c r="AZ110" i="1"/>
  <c r="AE113" i="14" s="1"/>
  <c r="AY110" i="1"/>
  <c r="AX110" i="1"/>
  <c r="AW110" i="1"/>
  <c r="AV110" i="1"/>
  <c r="AU110" i="1"/>
  <c r="AU113" i="2" s="1"/>
  <c r="AT110" i="1"/>
  <c r="AS110" i="1"/>
  <c r="AR110" i="1"/>
  <c r="AQ110" i="1"/>
  <c r="AP110" i="1"/>
  <c r="AO110" i="1"/>
  <c r="AN110" i="1"/>
  <c r="AN113" i="2" s="1"/>
  <c r="AM110" i="1"/>
  <c r="AM113" i="2" s="1"/>
  <c r="AL110" i="1"/>
  <c r="AK110" i="1"/>
  <c r="AJ110" i="1"/>
  <c r="AI110" i="1"/>
  <c r="AH110" i="1"/>
  <c r="AG110" i="1"/>
  <c r="AF110" i="1"/>
  <c r="AF113" i="2" s="1"/>
  <c r="AE110" i="1"/>
  <c r="AE113" i="2" s="1"/>
  <c r="AD110" i="1"/>
  <c r="AC110" i="1"/>
  <c r="AB110" i="1"/>
  <c r="AA110" i="1"/>
  <c r="Z110" i="1"/>
  <c r="Y110" i="1"/>
  <c r="X110" i="1"/>
  <c r="W110" i="1"/>
  <c r="W113" i="2" s="1"/>
  <c r="V110" i="1"/>
  <c r="U110" i="1"/>
  <c r="T110" i="1"/>
  <c r="S110" i="1"/>
  <c r="R110" i="1"/>
  <c r="Q110" i="1"/>
  <c r="P110" i="1"/>
  <c r="O110" i="1"/>
  <c r="O113" i="14" s="1"/>
  <c r="N110" i="1"/>
  <c r="M110" i="1"/>
  <c r="M113" i="14" s="1"/>
  <c r="L110" i="1"/>
  <c r="K110" i="1"/>
  <c r="K113" i="14" s="1"/>
  <c r="J110" i="1"/>
  <c r="I110" i="1"/>
  <c r="I113" i="14" s="1"/>
  <c r="H110" i="1"/>
  <c r="H113" i="14" s="1"/>
  <c r="G110" i="1"/>
  <c r="G113" i="14" s="1"/>
  <c r="F110" i="1"/>
  <c r="E110" i="1"/>
  <c r="E113" i="14" s="1"/>
  <c r="D110" i="1"/>
  <c r="D113" i="14" s="1"/>
  <c r="C110" i="1"/>
  <c r="B110" i="1"/>
  <c r="A110" i="1"/>
  <c r="A113" i="14" s="1"/>
  <c r="B111" i="3"/>
  <c r="C111" i="3" s="1"/>
  <c r="A111" i="3" s="1"/>
  <c r="C112" i="14"/>
  <c r="C111" i="2"/>
  <c r="B111" i="2"/>
  <c r="CD109" i="1"/>
  <c r="CC109" i="1"/>
  <c r="CB109" i="1"/>
  <c r="CA109" i="1"/>
  <c r="BZ109" i="1"/>
  <c r="BY109" i="1"/>
  <c r="BX109" i="1"/>
  <c r="BX112" i="2" s="1"/>
  <c r="BW109" i="1"/>
  <c r="BV109" i="1"/>
  <c r="BU109" i="1"/>
  <c r="BT109" i="1"/>
  <c r="BS109" i="1"/>
  <c r="BR109" i="1"/>
  <c r="BQ109" i="1"/>
  <c r="BP109" i="1"/>
  <c r="BP112" i="2" s="1"/>
  <c r="BO109" i="1"/>
  <c r="BN109" i="1"/>
  <c r="BM109" i="1"/>
  <c r="BL109" i="1"/>
  <c r="P112" i="14" s="1"/>
  <c r="BK109" i="1"/>
  <c r="AP112" i="14" s="1"/>
  <c r="BJ109" i="1"/>
  <c r="AO112" i="14" s="1"/>
  <c r="BI109" i="1"/>
  <c r="AN112" i="14" s="1"/>
  <c r="BH109" i="1"/>
  <c r="AM112" i="14" s="1"/>
  <c r="BG109" i="1"/>
  <c r="BF109" i="1"/>
  <c r="BE109" i="1"/>
  <c r="BD109" i="1"/>
  <c r="BC109" i="1"/>
  <c r="AH112" i="14" s="1"/>
  <c r="BB109" i="1"/>
  <c r="AG112" i="14" s="1"/>
  <c r="BA109" i="1"/>
  <c r="AF112" i="14" s="1"/>
  <c r="AZ109" i="1"/>
  <c r="AE112" i="14" s="1"/>
  <c r="AY109" i="1"/>
  <c r="AX109" i="1"/>
  <c r="AW109" i="1"/>
  <c r="AV109" i="1"/>
  <c r="AU109" i="1"/>
  <c r="AT109" i="1"/>
  <c r="AS109" i="1"/>
  <c r="AR109" i="1"/>
  <c r="AR112" i="2" s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O112" i="14" s="1"/>
  <c r="N109" i="1"/>
  <c r="N112" i="14" s="1"/>
  <c r="M109" i="1"/>
  <c r="M112" i="14" s="1"/>
  <c r="L109" i="1"/>
  <c r="L112" i="14" s="1"/>
  <c r="K109" i="1"/>
  <c r="J109" i="1"/>
  <c r="J112" i="14" s="1"/>
  <c r="I109" i="1"/>
  <c r="H109" i="1"/>
  <c r="H112" i="14" s="1"/>
  <c r="G109" i="1"/>
  <c r="G112" i="14" s="1"/>
  <c r="F109" i="1"/>
  <c r="F112" i="14" s="1"/>
  <c r="E109" i="1"/>
  <c r="E112" i="14" s="1"/>
  <c r="D109" i="1"/>
  <c r="D112" i="14" s="1"/>
  <c r="C109" i="1"/>
  <c r="B109" i="1"/>
  <c r="A109" i="1"/>
  <c r="A111" i="2" s="1"/>
  <c r="C110" i="3"/>
  <c r="A110" i="3" s="1"/>
  <c r="B110" i="3"/>
  <c r="C111" i="14"/>
  <c r="C110" i="2"/>
  <c r="B110" i="2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AO111" i="14" s="1"/>
  <c r="BI108" i="1"/>
  <c r="AN111" i="14" s="1"/>
  <c r="BH108" i="1"/>
  <c r="AM111" i="14" s="1"/>
  <c r="BG108" i="1"/>
  <c r="AL111" i="14" s="1"/>
  <c r="BF108" i="1"/>
  <c r="BE108" i="1"/>
  <c r="BD108" i="1"/>
  <c r="BC108" i="1"/>
  <c r="BB108" i="1"/>
  <c r="AG111" i="14" s="1"/>
  <c r="BA108" i="1"/>
  <c r="AF111" i="14" s="1"/>
  <c r="AZ108" i="1"/>
  <c r="AE111" i="14" s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N111" i="14" s="1"/>
  <c r="M108" i="1"/>
  <c r="M111" i="14" s="1"/>
  <c r="L108" i="1"/>
  <c r="L111" i="14" s="1"/>
  <c r="K108" i="1"/>
  <c r="K111" i="14" s="1"/>
  <c r="J108" i="1"/>
  <c r="I108" i="1"/>
  <c r="H108" i="1"/>
  <c r="G108" i="1"/>
  <c r="F108" i="1"/>
  <c r="F111" i="14" s="1"/>
  <c r="E108" i="1"/>
  <c r="E111" i="14" s="1"/>
  <c r="D108" i="1"/>
  <c r="D111" i="14" s="1"/>
  <c r="C108" i="1"/>
  <c r="B108" i="1"/>
  <c r="A108" i="1"/>
  <c r="A111" i="14" s="1"/>
  <c r="C109" i="3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AM109" i="14" s="1"/>
  <c r="BG106" i="1"/>
  <c r="AL109" i="14" s="1"/>
  <c r="BF106" i="1"/>
  <c r="BE106" i="1"/>
  <c r="BD106" i="1"/>
  <c r="BC106" i="1"/>
  <c r="BB106" i="1"/>
  <c r="BA106" i="1"/>
  <c r="AZ106" i="1"/>
  <c r="AE109" i="14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K109" i="14" s="1"/>
  <c r="J106" i="1"/>
  <c r="I106" i="1"/>
  <c r="H106" i="1"/>
  <c r="G106" i="1"/>
  <c r="F106" i="1"/>
  <c r="E106" i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P107" i="14" s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O107" i="14" s="1"/>
  <c r="N104" i="1"/>
  <c r="N107" i="14" s="1"/>
  <c r="M104" i="1"/>
  <c r="M107" i="14" s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C112" i="3" s="1"/>
  <c r="CB98" i="1"/>
  <c r="CA98" i="1"/>
  <c r="BZ98" i="1"/>
  <c r="BY98" i="1"/>
  <c r="BY112" i="3" s="1"/>
  <c r="BX98" i="1"/>
  <c r="BW98" i="1"/>
  <c r="BV98" i="1"/>
  <c r="BU98" i="1"/>
  <c r="BU112" i="3" s="1"/>
  <c r="BT98" i="1"/>
  <c r="BS98" i="1"/>
  <c r="BR98" i="1"/>
  <c r="BQ98" i="1"/>
  <c r="BQ112" i="3" s="1"/>
  <c r="BP98" i="1"/>
  <c r="AQ101" i="14" s="1"/>
  <c r="BO98" i="1"/>
  <c r="BN98" i="1"/>
  <c r="BM98" i="1"/>
  <c r="BM112" i="3" s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W112" i="3" s="1"/>
  <c r="AV98" i="1"/>
  <c r="AU98" i="1"/>
  <c r="AT98" i="1"/>
  <c r="AS98" i="1"/>
  <c r="AS112" i="3" s="1"/>
  <c r="AR98" i="1"/>
  <c r="AQ98" i="1"/>
  <c r="AP98" i="1"/>
  <c r="AO98" i="1"/>
  <c r="AO112" i="3" s="1"/>
  <c r="AN98" i="1"/>
  <c r="AN112" i="3" s="1"/>
  <c r="AM98" i="1"/>
  <c r="AL98" i="1"/>
  <c r="AK98" i="1"/>
  <c r="AK112" i="3" s="1"/>
  <c r="AJ98" i="1"/>
  <c r="AJ112" i="3" s="1"/>
  <c r="AI98" i="1"/>
  <c r="AH98" i="1"/>
  <c r="AG98" i="1"/>
  <c r="AG112" i="3" s="1"/>
  <c r="AF98" i="1"/>
  <c r="AF112" i="3" s="1"/>
  <c r="AE98" i="1"/>
  <c r="AD98" i="1"/>
  <c r="AC98" i="1"/>
  <c r="AC112" i="3" s="1"/>
  <c r="AB98" i="1"/>
  <c r="AA98" i="1"/>
  <c r="Z98" i="1"/>
  <c r="Y98" i="1"/>
  <c r="Y112" i="3" s="1"/>
  <c r="X98" i="1"/>
  <c r="W98" i="1"/>
  <c r="V98" i="1"/>
  <c r="U98" i="1"/>
  <c r="U112" i="3" s="1"/>
  <c r="T98" i="1"/>
  <c r="S98" i="1"/>
  <c r="R98" i="1"/>
  <c r="Q98" i="1"/>
  <c r="Q112" i="3" s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BZ95" i="1"/>
  <c r="BZ109" i="3" s="1"/>
  <c r="BY95" i="1"/>
  <c r="BY109" i="3" s="1"/>
  <c r="BX95" i="1"/>
  <c r="BW95" i="1"/>
  <c r="BV95" i="1"/>
  <c r="BU95" i="1"/>
  <c r="BT95" i="1"/>
  <c r="BS95" i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T95" i="1"/>
  <c r="AT109" i="3" s="1"/>
  <c r="AS95" i="1"/>
  <c r="AS109" i="3" s="1"/>
  <c r="AR95" i="1"/>
  <c r="AQ95" i="1"/>
  <c r="AP95" i="1"/>
  <c r="AO95" i="1"/>
  <c r="AN95" i="1"/>
  <c r="AM95" i="1"/>
  <c r="AL95" i="1"/>
  <c r="AL109" i="3" s="1"/>
  <c r="AK95" i="1"/>
  <c r="AK109" i="3" s="1"/>
  <c r="AJ95" i="1"/>
  <c r="AI95" i="1"/>
  <c r="AH95" i="1"/>
  <c r="AG95" i="1"/>
  <c r="AF95" i="1"/>
  <c r="AE95" i="1"/>
  <c r="AD95" i="1"/>
  <c r="AD109" i="3" s="1"/>
  <c r="AC95" i="1"/>
  <c r="AC109" i="3" s="1"/>
  <c r="AB95" i="1"/>
  <c r="AA95" i="1"/>
  <c r="Z95" i="1"/>
  <c r="Y95" i="1"/>
  <c r="X95" i="1"/>
  <c r="W95" i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Y114" i="14" l="1"/>
  <c r="AZ114" i="14"/>
  <c r="Z114" i="14"/>
  <c r="AS114" i="14"/>
  <c r="R114" i="14"/>
  <c r="BF114" i="14" s="1"/>
  <c r="U114" i="14"/>
  <c r="AC114" i="14"/>
  <c r="O113" i="2"/>
  <c r="BX109" i="3"/>
  <c r="T111" i="2"/>
  <c r="AB111" i="2"/>
  <c r="AJ112" i="2"/>
  <c r="F112" i="2"/>
  <c r="N112" i="2"/>
  <c r="V112" i="2"/>
  <c r="AD112" i="2"/>
  <c r="AL112" i="2"/>
  <c r="AT112" i="2"/>
  <c r="BB112" i="2"/>
  <c r="BJ112" i="2"/>
  <c r="BR112" i="2"/>
  <c r="BZ112" i="2"/>
  <c r="BT112" i="3"/>
  <c r="F113" i="2"/>
  <c r="N113" i="2"/>
  <c r="V113" i="2"/>
  <c r="AD113" i="2"/>
  <c r="AL113" i="2"/>
  <c r="AT113" i="2"/>
  <c r="BB113" i="2"/>
  <c r="BJ113" i="2"/>
  <c r="BR113" i="2"/>
  <c r="BZ113" i="2"/>
  <c r="E114" i="14"/>
  <c r="S114" i="14" s="1"/>
  <c r="BG114" i="14" s="1"/>
  <c r="M114" i="14"/>
  <c r="AA114" i="14" s="1"/>
  <c r="BO114" i="14" s="1"/>
  <c r="AF114" i="14"/>
  <c r="AT114" i="14" s="1"/>
  <c r="AN114" i="14"/>
  <c r="BB114" i="14" s="1"/>
  <c r="K113" i="3"/>
  <c r="S113" i="3"/>
  <c r="AA113" i="3"/>
  <c r="AI113" i="3"/>
  <c r="AQ113" i="3"/>
  <c r="AY113" i="3"/>
  <c r="BG113" i="3"/>
  <c r="BO113" i="3"/>
  <c r="BW113" i="3"/>
  <c r="P112" i="3"/>
  <c r="X112" i="3"/>
  <c r="AV112" i="3"/>
  <c r="CB112" i="3"/>
  <c r="H113" i="2"/>
  <c r="P113" i="2"/>
  <c r="X113" i="2"/>
  <c r="AV113" i="2"/>
  <c r="BD113" i="2"/>
  <c r="BL113" i="2"/>
  <c r="CF113" i="2" s="1"/>
  <c r="CB113" i="2"/>
  <c r="AV114" i="14"/>
  <c r="BI114" i="14" s="1"/>
  <c r="BD114" i="14"/>
  <c r="BQ114" i="14" s="1"/>
  <c r="BC113" i="2"/>
  <c r="A113" i="2"/>
  <c r="I113" i="2"/>
  <c r="Q113" i="2"/>
  <c r="Y113" i="2"/>
  <c r="AG113" i="2"/>
  <c r="AO113" i="2"/>
  <c r="AW113" i="2"/>
  <c r="BE113" i="2"/>
  <c r="BM113" i="2"/>
  <c r="BU113" i="2"/>
  <c r="CC113" i="2"/>
  <c r="H114" i="14"/>
  <c r="V114" i="14" s="1"/>
  <c r="BJ114" i="14" s="1"/>
  <c r="P114" i="14"/>
  <c r="Q114" i="14" s="1"/>
  <c r="AI114" i="14"/>
  <c r="AW114" i="14" s="1"/>
  <c r="AQ114" i="14"/>
  <c r="AR114" i="14" s="1"/>
  <c r="G113" i="2"/>
  <c r="BK113" i="2"/>
  <c r="AB114" i="14"/>
  <c r="J113" i="2"/>
  <c r="R113" i="2"/>
  <c r="Z113" i="2"/>
  <c r="AH113" i="2"/>
  <c r="AP113" i="2"/>
  <c r="AX113" i="2"/>
  <c r="BF113" i="2"/>
  <c r="BN113" i="2"/>
  <c r="BV113" i="2"/>
  <c r="CD113" i="2"/>
  <c r="I114" i="14"/>
  <c r="W114" i="14" s="1"/>
  <c r="AJ114" i="14"/>
  <c r="AX114" i="14" s="1"/>
  <c r="BJ109" i="2"/>
  <c r="BR109" i="2"/>
  <c r="I111" i="2"/>
  <c r="Q111" i="2"/>
  <c r="Y111" i="2"/>
  <c r="AG111" i="2"/>
  <c r="AO111" i="2"/>
  <c r="AW111" i="2"/>
  <c r="BE111" i="2"/>
  <c r="BM111" i="2"/>
  <c r="BU111" i="2"/>
  <c r="CC111" i="2"/>
  <c r="K113" i="2"/>
  <c r="BG113" i="2"/>
  <c r="J114" i="14"/>
  <c r="AK114" i="14"/>
  <c r="AY114" i="14" s="1"/>
  <c r="T114" i="14"/>
  <c r="L112" i="3"/>
  <c r="T112" i="3"/>
  <c r="AB112" i="3"/>
  <c r="AR112" i="3"/>
  <c r="BH112" i="3"/>
  <c r="BX112" i="3"/>
  <c r="D113" i="2"/>
  <c r="L113" i="2"/>
  <c r="AZ113" i="2"/>
  <c r="BH113" i="2"/>
  <c r="AT113" i="14"/>
  <c r="BB113" i="14"/>
  <c r="AZ112" i="3"/>
  <c r="P112" i="2"/>
  <c r="X112" i="2"/>
  <c r="AF112" i="2"/>
  <c r="AN112" i="2"/>
  <c r="AV112" i="2"/>
  <c r="BD112" i="2"/>
  <c r="BT112" i="2"/>
  <c r="CB112" i="2"/>
  <c r="J112" i="3"/>
  <c r="R112" i="3"/>
  <c r="Z112" i="3"/>
  <c r="AH112" i="3"/>
  <c r="AP112" i="3"/>
  <c r="AX112" i="3"/>
  <c r="BF112" i="3"/>
  <c r="BN112" i="3"/>
  <c r="BV112" i="3"/>
  <c r="CD112" i="3"/>
  <c r="AM113" i="14"/>
  <c r="BA114" i="14" s="1"/>
  <c r="BD112" i="3"/>
  <c r="K112" i="2"/>
  <c r="S112" i="2"/>
  <c r="AA112" i="2"/>
  <c r="AI112" i="2"/>
  <c r="AQ112" i="2"/>
  <c r="AY112" i="2"/>
  <c r="BO112" i="2"/>
  <c r="BW112" i="2"/>
  <c r="L113" i="14"/>
  <c r="Z113" i="14" s="1"/>
  <c r="BL112" i="3"/>
  <c r="CF112" i="3" s="1"/>
  <c r="D112" i="3"/>
  <c r="BP112" i="3"/>
  <c r="R113" i="14"/>
  <c r="H112" i="3"/>
  <c r="U112" i="2"/>
  <c r="AC112" i="2"/>
  <c r="AK112" i="2"/>
  <c r="AS112" i="2"/>
  <c r="BQ112" i="2"/>
  <c r="BY112" i="2"/>
  <c r="G112" i="3"/>
  <c r="O112" i="3"/>
  <c r="W112" i="3"/>
  <c r="AE112" i="3"/>
  <c r="AM112" i="3"/>
  <c r="AU112" i="3"/>
  <c r="BC112" i="3"/>
  <c r="BK112" i="3"/>
  <c r="BS112" i="3"/>
  <c r="CA112" i="3"/>
  <c r="AV113" i="14"/>
  <c r="A112" i="2"/>
  <c r="G112" i="2"/>
  <c r="O112" i="2"/>
  <c r="W112" i="2"/>
  <c r="AE112" i="2"/>
  <c r="AM112" i="2"/>
  <c r="AU112" i="2"/>
  <c r="BC112" i="2"/>
  <c r="BK112" i="2"/>
  <c r="BS112" i="2"/>
  <c r="CA112" i="2"/>
  <c r="F113" i="14"/>
  <c r="T113" i="14" s="1"/>
  <c r="N113" i="14"/>
  <c r="AB113" i="14" s="1"/>
  <c r="K112" i="3"/>
  <c r="S112" i="3"/>
  <c r="AA112" i="3"/>
  <c r="AI112" i="3"/>
  <c r="AQ112" i="3"/>
  <c r="AY112" i="3"/>
  <c r="BG112" i="3"/>
  <c r="BO112" i="3"/>
  <c r="BW112" i="3"/>
  <c r="I112" i="2"/>
  <c r="Q112" i="2"/>
  <c r="Y112" i="2"/>
  <c r="AG112" i="2"/>
  <c r="AO112" i="2"/>
  <c r="AW112" i="2"/>
  <c r="BE112" i="2"/>
  <c r="BM112" i="2"/>
  <c r="BU112" i="2"/>
  <c r="CC112" i="2"/>
  <c r="V113" i="14"/>
  <c r="E112" i="3"/>
  <c r="M112" i="3"/>
  <c r="BA112" i="3"/>
  <c r="BI112" i="3"/>
  <c r="H112" i="2"/>
  <c r="BL112" i="2"/>
  <c r="CF112" i="2" s="1"/>
  <c r="U113" i="14"/>
  <c r="AC113" i="14"/>
  <c r="BQ113" i="14" s="1"/>
  <c r="AG113" i="14"/>
  <c r="AU113" i="14" s="1"/>
  <c r="AO113" i="14"/>
  <c r="BC113" i="14" s="1"/>
  <c r="J112" i="2"/>
  <c r="R112" i="2"/>
  <c r="Z112" i="2"/>
  <c r="AH112" i="2"/>
  <c r="AP112" i="2"/>
  <c r="AX112" i="2"/>
  <c r="BF112" i="2"/>
  <c r="BN112" i="2"/>
  <c r="BV112" i="2"/>
  <c r="CD112" i="2"/>
  <c r="F112" i="3"/>
  <c r="N112" i="3"/>
  <c r="V112" i="3"/>
  <c r="AD112" i="3"/>
  <c r="AL112" i="3"/>
  <c r="AT112" i="3"/>
  <c r="BB112" i="3"/>
  <c r="BJ112" i="3"/>
  <c r="BR112" i="3"/>
  <c r="BZ112" i="3"/>
  <c r="BG112" i="2"/>
  <c r="J113" i="14"/>
  <c r="X113" i="14" s="1"/>
  <c r="L112" i="2"/>
  <c r="T112" i="2"/>
  <c r="AB112" i="2"/>
  <c r="AZ112" i="2"/>
  <c r="BH112" i="2"/>
  <c r="BS109" i="3"/>
  <c r="E112" i="2"/>
  <c r="M112" i="2"/>
  <c r="BA112" i="2"/>
  <c r="BI112" i="2"/>
  <c r="I112" i="3"/>
  <c r="BE112" i="3"/>
  <c r="D112" i="2"/>
  <c r="CA109" i="3"/>
  <c r="S113" i="14"/>
  <c r="BG113" i="14" s="1"/>
  <c r="AA113" i="14"/>
  <c r="AS113" i="14"/>
  <c r="BF113" i="14" s="1"/>
  <c r="BA113" i="14"/>
  <c r="K111" i="3"/>
  <c r="S111" i="3"/>
  <c r="AA111" i="3"/>
  <c r="AI111" i="3"/>
  <c r="AQ111" i="3"/>
  <c r="AY111" i="3"/>
  <c r="BG111" i="3"/>
  <c r="BO111" i="3"/>
  <c r="BW111" i="3"/>
  <c r="BG111" i="2"/>
  <c r="AE109" i="3"/>
  <c r="AJ111" i="2"/>
  <c r="AR111" i="2"/>
  <c r="BP111" i="2"/>
  <c r="BX111" i="2"/>
  <c r="BO111" i="2"/>
  <c r="W109" i="3"/>
  <c r="U111" i="2"/>
  <c r="AC111" i="2"/>
  <c r="AK111" i="2"/>
  <c r="AS111" i="2"/>
  <c r="BQ111" i="2"/>
  <c r="BY111" i="2"/>
  <c r="K111" i="2"/>
  <c r="BW111" i="2"/>
  <c r="AU109" i="3"/>
  <c r="V111" i="2"/>
  <c r="AD111" i="2"/>
  <c r="AL111" i="2"/>
  <c r="AT111" i="2"/>
  <c r="BR111" i="2"/>
  <c r="BZ111" i="2"/>
  <c r="S111" i="2"/>
  <c r="A112" i="14"/>
  <c r="AM109" i="3"/>
  <c r="W111" i="2"/>
  <c r="AE111" i="2"/>
  <c r="AM111" i="2"/>
  <c r="AU111" i="2"/>
  <c r="BS111" i="2"/>
  <c r="CA111" i="2"/>
  <c r="AA111" i="2"/>
  <c r="P111" i="2"/>
  <c r="X111" i="2"/>
  <c r="AF111" i="2"/>
  <c r="AN111" i="2"/>
  <c r="AV111" i="2"/>
  <c r="BD111" i="2"/>
  <c r="BT111" i="2"/>
  <c r="CB111" i="2"/>
  <c r="AI111" i="2"/>
  <c r="AQ111" i="2"/>
  <c r="AJ112" i="14"/>
  <c r="AX113" i="14" s="1"/>
  <c r="J111" i="3"/>
  <c r="R111" i="3"/>
  <c r="Z111" i="3"/>
  <c r="AH111" i="3"/>
  <c r="AP111" i="3"/>
  <c r="AX111" i="3"/>
  <c r="BF111" i="3"/>
  <c r="BN111" i="3"/>
  <c r="BV111" i="3"/>
  <c r="CD111" i="3"/>
  <c r="AY111" i="2"/>
  <c r="J111" i="2"/>
  <c r="R111" i="2"/>
  <c r="Z111" i="2"/>
  <c r="AH111" i="2"/>
  <c r="AP111" i="2"/>
  <c r="AX111" i="2"/>
  <c r="BF111" i="2"/>
  <c r="BN111" i="2"/>
  <c r="BV111" i="2"/>
  <c r="CD111" i="2"/>
  <c r="I112" i="14"/>
  <c r="W113" i="14" s="1"/>
  <c r="AI112" i="14"/>
  <c r="AW113" i="14" s="1"/>
  <c r="AQ112" i="14"/>
  <c r="AR113" i="14" s="1"/>
  <c r="D111" i="3"/>
  <c r="L111" i="3"/>
  <c r="T111" i="3"/>
  <c r="AB111" i="3"/>
  <c r="AJ111" i="3"/>
  <c r="AR111" i="3"/>
  <c r="AZ111" i="3"/>
  <c r="BH111" i="3"/>
  <c r="BP111" i="3"/>
  <c r="BX111" i="3"/>
  <c r="E111" i="3"/>
  <c r="U111" i="3"/>
  <c r="AC111" i="3"/>
  <c r="AK111" i="3"/>
  <c r="AS111" i="3"/>
  <c r="BA111" i="3"/>
  <c r="BI111" i="3"/>
  <c r="BY111" i="3"/>
  <c r="D111" i="2"/>
  <c r="L111" i="2"/>
  <c r="AZ111" i="2"/>
  <c r="BH111" i="2"/>
  <c r="K112" i="14"/>
  <c r="Y113" i="14" s="1"/>
  <c r="BM113" i="14" s="1"/>
  <c r="AK112" i="14"/>
  <c r="AY113" i="14" s="1"/>
  <c r="F111" i="3"/>
  <c r="N111" i="3"/>
  <c r="V111" i="3"/>
  <c r="AD111" i="3"/>
  <c r="AL111" i="3"/>
  <c r="AT111" i="3"/>
  <c r="BB111" i="3"/>
  <c r="BJ111" i="3"/>
  <c r="BR111" i="3"/>
  <c r="BZ111" i="3"/>
  <c r="M111" i="3"/>
  <c r="BQ111" i="3"/>
  <c r="E111" i="2"/>
  <c r="M111" i="2"/>
  <c r="BA111" i="2"/>
  <c r="BI111" i="2"/>
  <c r="AL112" i="14"/>
  <c r="AZ113" i="14" s="1"/>
  <c r="G111" i="3"/>
  <c r="O111" i="3"/>
  <c r="W111" i="3"/>
  <c r="AE111" i="3"/>
  <c r="AM111" i="3"/>
  <c r="AU111" i="3"/>
  <c r="BC111" i="3"/>
  <c r="BK111" i="3"/>
  <c r="BS111" i="3"/>
  <c r="CA111" i="3"/>
  <c r="F111" i="2"/>
  <c r="N111" i="2"/>
  <c r="BB111" i="2"/>
  <c r="BJ111" i="2"/>
  <c r="H111" i="3"/>
  <c r="P111" i="3"/>
  <c r="X111" i="3"/>
  <c r="AF111" i="3"/>
  <c r="AN111" i="3"/>
  <c r="AV111" i="3"/>
  <c r="BD111" i="3"/>
  <c r="BL111" i="3"/>
  <c r="BT111" i="3"/>
  <c r="CB111" i="3"/>
  <c r="AN110" i="2"/>
  <c r="G111" i="2"/>
  <c r="O111" i="2"/>
  <c r="BC111" i="2"/>
  <c r="BK111" i="2"/>
  <c r="I111" i="3"/>
  <c r="Q111" i="3"/>
  <c r="Y111" i="3"/>
  <c r="AG111" i="3"/>
  <c r="AO111" i="3"/>
  <c r="AW111" i="3"/>
  <c r="BE111" i="3"/>
  <c r="BM111" i="3"/>
  <c r="BU111" i="3"/>
  <c r="CC111" i="3"/>
  <c r="I110" i="3"/>
  <c r="Q110" i="3"/>
  <c r="Y110" i="3"/>
  <c r="AG110" i="3"/>
  <c r="AO110" i="3"/>
  <c r="AW110" i="3"/>
  <c r="BE110" i="3"/>
  <c r="BM110" i="3"/>
  <c r="BU110" i="3"/>
  <c r="CC110" i="3"/>
  <c r="H111" i="2"/>
  <c r="BL111" i="2"/>
  <c r="J110" i="3"/>
  <c r="R110" i="3"/>
  <c r="Z110" i="3"/>
  <c r="AH110" i="3"/>
  <c r="AP110" i="3"/>
  <c r="AX110" i="3"/>
  <c r="BF110" i="3"/>
  <c r="BN110" i="3"/>
  <c r="BV110" i="3"/>
  <c r="CD110" i="3"/>
  <c r="BL110" i="2"/>
  <c r="S110" i="2"/>
  <c r="AA110" i="2"/>
  <c r="AI110" i="2"/>
  <c r="AQ110" i="2"/>
  <c r="AY110" i="2"/>
  <c r="BO110" i="2"/>
  <c r="BW110" i="2"/>
  <c r="T110" i="2"/>
  <c r="AB110" i="2"/>
  <c r="AJ110" i="2"/>
  <c r="AR110" i="2"/>
  <c r="BP110" i="2"/>
  <c r="BX110" i="2"/>
  <c r="H110" i="2"/>
  <c r="AF110" i="2"/>
  <c r="BT110" i="2"/>
  <c r="U110" i="2"/>
  <c r="AC110" i="2"/>
  <c r="AK110" i="2"/>
  <c r="AS110" i="2"/>
  <c r="BQ110" i="2"/>
  <c r="BY110" i="2"/>
  <c r="BD110" i="2"/>
  <c r="V110" i="2"/>
  <c r="AD110" i="2"/>
  <c r="AL110" i="2"/>
  <c r="AT110" i="2"/>
  <c r="BR110" i="2"/>
  <c r="BZ110" i="2"/>
  <c r="P110" i="2"/>
  <c r="X110" i="2"/>
  <c r="AV110" i="2"/>
  <c r="CB110" i="2"/>
  <c r="G110" i="2"/>
  <c r="O110" i="2"/>
  <c r="W110" i="2"/>
  <c r="AE110" i="2"/>
  <c r="AM110" i="2"/>
  <c r="AU110" i="2"/>
  <c r="BC110" i="2"/>
  <c r="BK110" i="2"/>
  <c r="BS110" i="2"/>
  <c r="CA110" i="2"/>
  <c r="A110" i="2"/>
  <c r="I110" i="2"/>
  <c r="Q110" i="2"/>
  <c r="Y110" i="2"/>
  <c r="AG110" i="2"/>
  <c r="AO110" i="2"/>
  <c r="AW110" i="2"/>
  <c r="BE110" i="2"/>
  <c r="BM110" i="2"/>
  <c r="BU110" i="2"/>
  <c r="CC110" i="2"/>
  <c r="G111" i="14"/>
  <c r="O111" i="14"/>
  <c r="AH111" i="14"/>
  <c r="AP111" i="14"/>
  <c r="K110" i="3"/>
  <c r="S110" i="3"/>
  <c r="AA110" i="3"/>
  <c r="AI110" i="3"/>
  <c r="AQ110" i="3"/>
  <c r="AY110" i="3"/>
  <c r="BG110" i="3"/>
  <c r="BO110" i="3"/>
  <c r="BW110" i="3"/>
  <c r="T109" i="2"/>
  <c r="AB109" i="2"/>
  <c r="AJ109" i="2"/>
  <c r="AR109" i="2"/>
  <c r="AZ109" i="2"/>
  <c r="J110" i="2"/>
  <c r="R110" i="2"/>
  <c r="Z110" i="2"/>
  <c r="AH110" i="2"/>
  <c r="AP110" i="2"/>
  <c r="AX110" i="2"/>
  <c r="BF110" i="2"/>
  <c r="BN110" i="2"/>
  <c r="BV110" i="2"/>
  <c r="CD110" i="2"/>
  <c r="H111" i="14"/>
  <c r="P111" i="14"/>
  <c r="AS112" i="14" s="1"/>
  <c r="AI111" i="14"/>
  <c r="AQ111" i="14"/>
  <c r="AR111" i="14" s="1"/>
  <c r="D110" i="3"/>
  <c r="L110" i="3"/>
  <c r="T110" i="3"/>
  <c r="AB110" i="3"/>
  <c r="AJ110" i="3"/>
  <c r="AR110" i="3"/>
  <c r="AZ110" i="3"/>
  <c r="BH110" i="3"/>
  <c r="BP110" i="3"/>
  <c r="BX110" i="3"/>
  <c r="K110" i="2"/>
  <c r="BG110" i="2"/>
  <c r="I111" i="14"/>
  <c r="AJ111" i="14"/>
  <c r="E110" i="3"/>
  <c r="M110" i="3"/>
  <c r="U110" i="3"/>
  <c r="AC110" i="3"/>
  <c r="AK110" i="3"/>
  <c r="AS110" i="3"/>
  <c r="BA110" i="3"/>
  <c r="BI110" i="3"/>
  <c r="BQ110" i="3"/>
  <c r="BY110" i="3"/>
  <c r="D110" i="2"/>
  <c r="L110" i="2"/>
  <c r="AZ110" i="2"/>
  <c r="BH110" i="2"/>
  <c r="J111" i="14"/>
  <c r="AK111" i="14"/>
  <c r="F110" i="3"/>
  <c r="N110" i="3"/>
  <c r="V110" i="3"/>
  <c r="AD110" i="3"/>
  <c r="AL110" i="3"/>
  <c r="AT110" i="3"/>
  <c r="BB110" i="3"/>
  <c r="BJ110" i="3"/>
  <c r="BR110" i="3"/>
  <c r="BZ110" i="3"/>
  <c r="E109" i="2"/>
  <c r="M109" i="2"/>
  <c r="U109" i="2"/>
  <c r="AC109" i="2"/>
  <c r="AK109" i="2"/>
  <c r="AS109" i="2"/>
  <c r="BA109" i="2"/>
  <c r="BI109" i="2"/>
  <c r="BQ109" i="2"/>
  <c r="E110" i="2"/>
  <c r="M110" i="2"/>
  <c r="BA110" i="2"/>
  <c r="BI110" i="2"/>
  <c r="G110" i="3"/>
  <c r="O110" i="3"/>
  <c r="W110" i="3"/>
  <c r="AE110" i="3"/>
  <c r="AM110" i="3"/>
  <c r="AU110" i="3"/>
  <c r="BC110" i="3"/>
  <c r="BK110" i="3"/>
  <c r="BS110" i="3"/>
  <c r="CA110" i="3"/>
  <c r="F110" i="2"/>
  <c r="N110" i="2"/>
  <c r="BB110" i="2"/>
  <c r="BJ110" i="2"/>
  <c r="H110" i="3"/>
  <c r="P110" i="3"/>
  <c r="X110" i="3"/>
  <c r="AF110" i="3"/>
  <c r="AN110" i="3"/>
  <c r="AV110" i="3"/>
  <c r="BD110" i="3"/>
  <c r="BL110" i="3"/>
  <c r="BT110" i="3"/>
  <c r="CB110" i="3"/>
  <c r="AY107" i="2"/>
  <c r="BH109" i="2"/>
  <c r="BY109" i="2"/>
  <c r="BZ109" i="2"/>
  <c r="AB109" i="3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R111" i="14" s="1"/>
  <c r="AE110" i="14"/>
  <c r="AS111" i="14" s="1"/>
  <c r="AM110" i="14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BT108" i="2"/>
  <c r="CB108" i="2"/>
  <c r="G109" i="14"/>
  <c r="O109" i="14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C114" i="14" l="1"/>
  <c r="BO113" i="14"/>
  <c r="X114" i="14"/>
  <c r="BL114" i="14" s="1"/>
  <c r="BK114" i="14"/>
  <c r="BI113" i="14"/>
  <c r="BN114" i="14"/>
  <c r="BP114" i="14"/>
  <c r="AU114" i="14"/>
  <c r="BH114" i="14" s="1"/>
  <c r="BR114" i="14" s="1"/>
  <c r="BM114" i="14"/>
  <c r="BL113" i="14"/>
  <c r="BK113" i="14"/>
  <c r="BH113" i="14"/>
  <c r="BN113" i="14"/>
  <c r="BJ113" i="14"/>
  <c r="V112" i="14"/>
  <c r="BP113" i="14"/>
  <c r="CF108" i="2"/>
  <c r="AV112" i="14"/>
  <c r="U112" i="14"/>
  <c r="AC112" i="14"/>
  <c r="AR112" i="14"/>
  <c r="AX112" i="14"/>
  <c r="CF111" i="2"/>
  <c r="X112" i="14"/>
  <c r="BC111" i="14"/>
  <c r="AU112" i="14"/>
  <c r="BI112" i="14"/>
  <c r="CF111" i="3"/>
  <c r="AY112" i="14"/>
  <c r="BD112" i="14"/>
  <c r="AB112" i="14"/>
  <c r="Y112" i="14"/>
  <c r="AW112" i="14"/>
  <c r="T112" i="14"/>
  <c r="BH112" i="14" s="1"/>
  <c r="CF110" i="3"/>
  <c r="W112" i="14"/>
  <c r="BB112" i="14"/>
  <c r="AT112" i="14"/>
  <c r="BA112" i="14"/>
  <c r="AA112" i="14"/>
  <c r="CF108" i="3"/>
  <c r="AZ112" i="14"/>
  <c r="R112" i="14"/>
  <c r="BF112" i="14" s="1"/>
  <c r="Z112" i="14"/>
  <c r="S112" i="14"/>
  <c r="Q112" i="14"/>
  <c r="BC112" i="14"/>
  <c r="BD111" i="14"/>
  <c r="BB111" i="14"/>
  <c r="AT111" i="14"/>
  <c r="AZ111" i="14"/>
  <c r="S111" i="14"/>
  <c r="Y111" i="14"/>
  <c r="AW111" i="14"/>
  <c r="BA111" i="14"/>
  <c r="AY111" i="14"/>
  <c r="AX111" i="14"/>
  <c r="Q111" i="14"/>
  <c r="CF110" i="2"/>
  <c r="BF111" i="14"/>
  <c r="S110" i="14"/>
  <c r="X111" i="14"/>
  <c r="W111" i="14"/>
  <c r="V111" i="14"/>
  <c r="AA111" i="14"/>
  <c r="BO111" i="14" s="1"/>
  <c r="AV111" i="14"/>
  <c r="AU111" i="14"/>
  <c r="AC111" i="14"/>
  <c r="AB111" i="14"/>
  <c r="AW110" i="14"/>
  <c r="U111" i="14"/>
  <c r="T111" i="14"/>
  <c r="Z111" i="14"/>
  <c r="AY110" i="14"/>
  <c r="AZ110" i="14"/>
  <c r="BB110" i="14"/>
  <c r="AC110" i="14"/>
  <c r="BD110" i="14"/>
  <c r="AB110" i="14"/>
  <c r="R110" i="14"/>
  <c r="BI102" i="14"/>
  <c r="Y110" i="14"/>
  <c r="CF109" i="3"/>
  <c r="BM108" i="14"/>
  <c r="AA110" i="14"/>
  <c r="U110" i="14"/>
  <c r="AV110" i="14"/>
  <c r="Z110" i="14"/>
  <c r="BA110" i="14"/>
  <c r="AS110" i="14"/>
  <c r="AX110" i="14"/>
  <c r="T110" i="14"/>
  <c r="BH110" i="14" s="1"/>
  <c r="BC110" i="14"/>
  <c r="AT110" i="14"/>
  <c r="Q110" i="14"/>
  <c r="CF109" i="2"/>
  <c r="V110" i="14"/>
  <c r="X110" i="14"/>
  <c r="BL110" i="14" s="1"/>
  <c r="AR110" i="14"/>
  <c r="W110" i="14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J112" i="14" l="1"/>
  <c r="BR113" i="14"/>
  <c r="BK112" i="14"/>
  <c r="BK111" i="14"/>
  <c r="BQ112" i="14"/>
  <c r="BO110" i="14"/>
  <c r="BM111" i="14"/>
  <c r="BP111" i="14"/>
  <c r="BL112" i="14"/>
  <c r="BQ111" i="14"/>
  <c r="BG111" i="14"/>
  <c r="BP112" i="14"/>
  <c r="BG112" i="14"/>
  <c r="BN112" i="14"/>
  <c r="BO112" i="14"/>
  <c r="BM112" i="14"/>
  <c r="BG110" i="14"/>
  <c r="BL111" i="14"/>
  <c r="BF105" i="14"/>
  <c r="BJ110" i="14"/>
  <c r="BN111" i="14"/>
  <c r="BH111" i="14"/>
  <c r="BJ111" i="14"/>
  <c r="BI111" i="14"/>
  <c r="BN110" i="14"/>
  <c r="BP110" i="14"/>
  <c r="BQ110" i="14"/>
  <c r="BI110" i="14"/>
  <c r="BM109" i="14"/>
  <c r="BK110" i="14"/>
  <c r="BF110" i="14"/>
  <c r="BM110" i="14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12" i="14" l="1"/>
  <c r="BR110" i="14"/>
  <c r="BR111" i="14"/>
  <c r="BR109" i="14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G85" i="14" l="1"/>
  <c r="BR95" i="14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BK39" i="14" l="1"/>
  <c r="BI39" i="14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<sst xmlns="http://schemas.openxmlformats.org/spreadsheetml/2006/main" count="960" uniqueCount="153">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</sst>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  <c:pt idx="109" formatCode="0.00%">
                  <c:v>3.2018697348702219E-2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  <c:pt idx="106" formatCode="0.00%">
                  <c:v>2.34032582024577E-2</c:v>
                </c:pt>
                <c:pt idx="107" formatCode="0.00%">
                  <c:v>2.489415958118002E-2</c:v>
                </c:pt>
                <c:pt idx="108" formatCode="0.00%">
                  <c:v>2.8808734356978949E-2</c:v>
                </c:pt>
                <c:pt idx="109" formatCode="0.00%">
                  <c:v>3.0184803261636306E-2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  <c:pt idx="106" formatCode="0.00%">
                  <c:v>2.3415086838504795E-2</c:v>
                </c:pt>
                <c:pt idx="107" formatCode="0.00%">
                  <c:v>2.4852827280616552E-2</c:v>
                </c:pt>
                <c:pt idx="108" formatCode="0.00%">
                  <c:v>2.8292014605382887E-2</c:v>
                </c:pt>
                <c:pt idx="109" formatCode="0.00%">
                  <c:v>2.9644033619464327E-2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  <c:pt idx="106" formatCode="0.00%">
                  <c:v>2.3532995768112963E-2</c:v>
                </c:pt>
                <c:pt idx="107" formatCode="0.00%">
                  <c:v>2.4748870872465689E-2</c:v>
                </c:pt>
                <c:pt idx="108" formatCode="0.00%">
                  <c:v>2.8313516715476661E-2</c:v>
                </c:pt>
                <c:pt idx="109" formatCode="0.00%">
                  <c:v>2.8496842715682646E-2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  <c:pt idx="109" formatCode="0.00%">
                  <c:v>2.7163190275482085E-2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2.1683087926834599E-2</c:v>
                </c:pt>
                <c:pt idx="1">
                  <c:v>2.5431625266019386E-2</c:v>
                </c:pt>
                <c:pt idx="2">
                  <c:v>4.0417766602393046E-2</c:v>
                </c:pt>
                <c:pt idx="3">
                  <c:v>2.8504308700224357E-2</c:v>
                </c:pt>
                <c:pt idx="4">
                  <c:v>1.2751313421927479E-2</c:v>
                </c:pt>
                <c:pt idx="5">
                  <c:v>1.2950143399720782E-2</c:v>
                </c:pt>
                <c:pt idx="6">
                  <c:v>1.803644664052495E-2</c:v>
                </c:pt>
                <c:pt idx="7">
                  <c:v>1.7303095323675466E-2</c:v>
                </c:pt>
                <c:pt idx="8">
                  <c:v>2.0373502502535779E-2</c:v>
                </c:pt>
                <c:pt idx="9">
                  <c:v>2.312266576693256E-2</c:v>
                </c:pt>
                <c:pt idx="10">
                  <c:v>2.4974389921325058E-2</c:v>
                </c:pt>
                <c:pt idx="11">
                  <c:v>2.9231360334402323E-2</c:v>
                </c:pt>
                <c:pt idx="12">
                  <c:v>3.2018697348702219E-2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2.1830068820724913E-2</c:v>
                </c:pt>
                <c:pt idx="1">
                  <c:v>2.4840247490863998E-2</c:v>
                </c:pt>
                <c:pt idx="2">
                  <c:v>3.8886727251923991E-2</c:v>
                </c:pt>
                <c:pt idx="3">
                  <c:v>2.8020849967455463E-2</c:v>
                </c:pt>
                <c:pt idx="4">
                  <c:v>1.3733404112175052E-2</c:v>
                </c:pt>
                <c:pt idx="5">
                  <c:v>1.4541447415141295E-2</c:v>
                </c:pt>
                <c:pt idx="6">
                  <c:v>1.856971382087691E-2</c:v>
                </c:pt>
                <c:pt idx="7">
                  <c:v>1.8475699510283272E-2</c:v>
                </c:pt>
                <c:pt idx="8">
                  <c:v>2.0784270904638857E-2</c:v>
                </c:pt>
                <c:pt idx="9">
                  <c:v>2.34032582024577E-2</c:v>
                </c:pt>
                <c:pt idx="10">
                  <c:v>2.489415958118002E-2</c:v>
                </c:pt>
                <c:pt idx="11">
                  <c:v>2.8808734356978949E-2</c:v>
                </c:pt>
                <c:pt idx="12">
                  <c:v>3.0184803261636306E-2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2.2057149321017544E-2</c:v>
                </c:pt>
                <c:pt idx="1">
                  <c:v>2.4691478137405909E-2</c:v>
                </c:pt>
                <c:pt idx="2">
                  <c:v>3.8639102225477062E-2</c:v>
                </c:pt>
                <c:pt idx="3">
                  <c:v>2.7920156390233597E-2</c:v>
                </c:pt>
                <c:pt idx="4">
                  <c:v>1.4599080955532528E-2</c:v>
                </c:pt>
                <c:pt idx="5">
                  <c:v>1.5219308921756269E-2</c:v>
                </c:pt>
                <c:pt idx="6">
                  <c:v>1.8732068346340558E-2</c:v>
                </c:pt>
                <c:pt idx="7">
                  <c:v>1.8536726191060948E-2</c:v>
                </c:pt>
                <c:pt idx="8">
                  <c:v>2.0891709320997265E-2</c:v>
                </c:pt>
                <c:pt idx="9">
                  <c:v>2.3415086838504795E-2</c:v>
                </c:pt>
                <c:pt idx="10">
                  <c:v>2.4852827280616552E-2</c:v>
                </c:pt>
                <c:pt idx="11">
                  <c:v>2.8292014605382887E-2</c:v>
                </c:pt>
                <c:pt idx="12">
                  <c:v>2.9644033619464327E-2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2.2236804360479923E-2</c:v>
                </c:pt>
                <c:pt idx="1">
                  <c:v>2.41015151821935E-2</c:v>
                </c:pt>
                <c:pt idx="2">
                  <c:v>3.6876381454772567E-2</c:v>
                </c:pt>
                <c:pt idx="3">
                  <c:v>2.7676350255949611E-2</c:v>
                </c:pt>
                <c:pt idx="4">
                  <c:v>1.5163439517204891E-2</c:v>
                </c:pt>
                <c:pt idx="5">
                  <c:v>1.6314289096683643E-2</c:v>
                </c:pt>
                <c:pt idx="6">
                  <c:v>1.9287987231903614E-2</c:v>
                </c:pt>
                <c:pt idx="7">
                  <c:v>1.9263572562809195E-2</c:v>
                </c:pt>
                <c:pt idx="8">
                  <c:v>2.1056557796722997E-2</c:v>
                </c:pt>
                <c:pt idx="9">
                  <c:v>2.3532995768112963E-2</c:v>
                </c:pt>
                <c:pt idx="10">
                  <c:v>2.4748870872465689E-2</c:v>
                </c:pt>
                <c:pt idx="11">
                  <c:v>2.8313516715476661E-2</c:v>
                </c:pt>
                <c:pt idx="12">
                  <c:v>2.8496842715682646E-2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2.3088842860465864E-2</c:v>
                </c:pt>
                <c:pt idx="1">
                  <c:v>2.3463202163408026E-2</c:v>
                </c:pt>
                <c:pt idx="2">
                  <c:v>3.4934655305836726E-2</c:v>
                </c:pt>
                <c:pt idx="3">
                  <c:v>2.7452917023244927E-2</c:v>
                </c:pt>
                <c:pt idx="4">
                  <c:v>1.6435099364626282E-2</c:v>
                </c:pt>
                <c:pt idx="5">
                  <c:v>1.8209352879243301E-2</c:v>
                </c:pt>
                <c:pt idx="6">
                  <c:v>1.9805482283514531E-2</c:v>
                </c:pt>
                <c:pt idx="7">
                  <c:v>1.9529831860293001E-2</c:v>
                </c:pt>
                <c:pt idx="8">
                  <c:v>2.1050594042087312E-2</c:v>
                </c:pt>
                <c:pt idx="9">
                  <c:v>2.3412916233022996E-2</c:v>
                </c:pt>
                <c:pt idx="10">
                  <c:v>2.4563295754381542E-2</c:v>
                </c:pt>
                <c:pt idx="11">
                  <c:v>2.7861004716862148E-2</c:v>
                </c:pt>
                <c:pt idx="12">
                  <c:v>2.7163190275482085E-2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  <c:pt idx="109" formatCode="0.00%">
                  <c:v>3.2018697348702219E-2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  <c:pt idx="109" formatCode="0.00%">
                  <c:v>2.7163190275482085E-2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  <c:pt idx="97" formatCode="0.0%">
                  <c:v>0.32502974800203144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  <c:pt idx="94" formatCode="0.0%">
                  <c:v>0.30880360279903329</c:v>
                </c:pt>
                <c:pt idx="95" formatCode="0.0%">
                  <c:v>0.31175939596295943</c:v>
                </c:pt>
                <c:pt idx="96" formatCode="0.0%">
                  <c:v>0.3144206668796381</c:v>
                </c:pt>
                <c:pt idx="97" formatCode="0.0%">
                  <c:v>0.32516769415013003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  <c:pt idx="94" formatCode="0.0%">
                  <c:v>0.31194284559353935</c:v>
                </c:pt>
                <c:pt idx="95" formatCode="0.0%">
                  <c:v>0.31384083996810652</c:v>
                </c:pt>
                <c:pt idx="96" formatCode="0.0%">
                  <c:v>0.31580889778602605</c:v>
                </c:pt>
                <c:pt idx="97" formatCode="0.0%">
                  <c:v>0.32557634559753157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  <c:pt idx="94" formatCode="0.0%">
                  <c:v>0.31527743050787871</c:v>
                </c:pt>
                <c:pt idx="95" formatCode="0.0%">
                  <c:v>0.3150278754294058</c:v>
                </c:pt>
                <c:pt idx="96" formatCode="0.0%">
                  <c:v>0.31680029430403711</c:v>
                </c:pt>
                <c:pt idx="97" formatCode="0.0%">
                  <c:v>0.32486419917747056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  <c:pt idx="97" formatCode="0.0%">
                  <c:v>0.32370708929020742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  <c:pt idx="97" formatCode="0.0%">
                  <c:v>0.32502974800203144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  <c:pt idx="97" formatCode="0.0%">
                  <c:v>0.32370708929020742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152239</xdr:colOff>
      <xdr:row>118</xdr:row>
      <xdr:rowOff>49207</xdr:rowOff>
    </xdr:from>
    <xdr:to>
      <xdr:col>66</xdr:col>
      <xdr:colOff>3154</xdr:colOff>
      <xdr:row>137</xdr:row>
      <xdr:rowOff>127244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  <row r="108">
          <cell r="A108">
            <v>45931</v>
          </cell>
        </row>
        <row r="109">
          <cell r="A109">
            <v>45962</v>
          </cell>
        </row>
        <row r="110">
          <cell r="A110">
            <v>45992</v>
          </cell>
        </row>
        <row r="111">
          <cell r="A111">
            <v>46023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  <row r="108">
          <cell r="D108">
            <v>10030.4287109375</v>
          </cell>
          <cell r="E108">
            <v>7188.03466796875</v>
          </cell>
          <cell r="F108">
            <v>7568.15478515625</v>
          </cell>
          <cell r="G108">
            <v>10332.9404296875</v>
          </cell>
          <cell r="H108">
            <v>8128.48681640625</v>
          </cell>
          <cell r="I108">
            <v>10994.494140625</v>
          </cell>
          <cell r="J108">
            <v>10090.6376953125</v>
          </cell>
          <cell r="K108">
            <v>8719.255859375</v>
          </cell>
          <cell r="L108">
            <v>8603.5966796875</v>
          </cell>
          <cell r="M108">
            <v>8785.1787109375</v>
          </cell>
          <cell r="N108">
            <v>11735.19921875</v>
          </cell>
          <cell r="O108">
            <v>9383.392578125</v>
          </cell>
          <cell r="P108">
            <v>10086.9482421875</v>
          </cell>
          <cell r="Q108">
            <v>7200.95166015625</v>
          </cell>
          <cell r="R108">
            <v>7644.0712890625</v>
          </cell>
          <cell r="S108">
            <v>10093.935546875</v>
          </cell>
          <cell r="T108">
            <v>8157.77685546875</v>
          </cell>
          <cell r="U108">
            <v>10932.888671875</v>
          </cell>
          <cell r="V108">
            <v>10060.5810546875</v>
          </cell>
          <cell r="W108">
            <v>8717.6337890625</v>
          </cell>
          <cell r="X108">
            <v>8628.966796875</v>
          </cell>
          <cell r="Y108">
            <v>8749.513671875</v>
          </cell>
          <cell r="Z108">
            <v>11713.318359375</v>
          </cell>
          <cell r="AA108">
            <v>9391.64453125</v>
          </cell>
          <cell r="AB108">
            <v>10122.77734375</v>
          </cell>
          <cell r="AC108">
            <v>7202.919921875</v>
          </cell>
          <cell r="AD108">
            <v>7678.41796875</v>
          </cell>
          <cell r="AE108">
            <v>9911.2763671875</v>
          </cell>
          <cell r="AF108">
            <v>8185.2412109375</v>
          </cell>
          <cell r="AG108">
            <v>10957.154296875</v>
          </cell>
          <cell r="AH108">
            <v>10061.7861328125</v>
          </cell>
          <cell r="AI108">
            <v>8725.01171875</v>
          </cell>
          <cell r="AJ108">
            <v>8640.1640625</v>
          </cell>
          <cell r="AK108">
            <v>8783.8759765625</v>
          </cell>
          <cell r="AL108">
            <v>11679.7880859375</v>
          </cell>
          <cell r="AM108">
            <v>9385.482421875</v>
          </cell>
          <cell r="AN108">
            <v>10139.9755859375</v>
          </cell>
          <cell r="AO108">
            <v>7216.125</v>
          </cell>
          <cell r="AP108">
            <v>7726.54248046875</v>
          </cell>
          <cell r="AQ108">
            <v>9895.0419921875</v>
          </cell>
          <cell r="AR108">
            <v>8193.9638671875</v>
          </cell>
          <cell r="AS108">
            <v>10809.91015625</v>
          </cell>
          <cell r="AT108">
            <v>10032.642578125</v>
          </cell>
          <cell r="AU108">
            <v>8690.0234375</v>
          </cell>
          <cell r="AV108">
            <v>8655.1298828125</v>
          </cell>
          <cell r="AW108">
            <v>8729.5390625</v>
          </cell>
          <cell r="AX108">
            <v>11675.216796875</v>
          </cell>
          <cell r="AY108">
            <v>9414.572265625</v>
          </cell>
          <cell r="AZ108">
            <v>10166.7607421875</v>
          </cell>
          <cell r="BA108">
            <v>7230.1181640625</v>
          </cell>
          <cell r="BB108">
            <v>7784.927734375</v>
          </cell>
          <cell r="BC108">
            <v>9782.0703125</v>
          </cell>
          <cell r="BD108">
            <v>8207.638671875</v>
          </cell>
          <cell r="BE108">
            <v>10696.435546875</v>
          </cell>
          <cell r="BF108">
            <v>10004.892578125</v>
          </cell>
          <cell r="BG108">
            <v>8699.908203125</v>
          </cell>
          <cell r="BH108">
            <v>8689.34375</v>
          </cell>
          <cell r="BI108">
            <v>8791.341796875</v>
          </cell>
          <cell r="BJ108">
            <v>11637.5517578125</v>
          </cell>
          <cell r="BK108">
            <v>9433.685546875</v>
          </cell>
          <cell r="BL108">
            <v>9576.841796875</v>
          </cell>
          <cell r="BM108">
            <v>9585.8955078125</v>
          </cell>
          <cell r="BN108">
            <v>9625.767578125</v>
          </cell>
          <cell r="BO108">
            <v>9639.7626953125</v>
          </cell>
          <cell r="BP108">
            <v>9631.8046875</v>
          </cell>
          <cell r="BQ108">
            <v>10112.9619140625</v>
          </cell>
          <cell r="BR108">
            <v>7211.5380859375</v>
          </cell>
          <cell r="BS108">
            <v>7698.6396484375</v>
          </cell>
          <cell r="BT108">
            <v>9942.7392578125</v>
          </cell>
          <cell r="BU108">
            <v>8187.9169921875</v>
          </cell>
          <cell r="BV108">
            <v>10816.544921875</v>
          </cell>
          <cell r="BW108">
            <v>10036.421875</v>
          </cell>
          <cell r="BX108">
            <v>8707.75390625</v>
          </cell>
          <cell r="BY108">
            <v>8656.2509765625</v>
          </cell>
          <cell r="BZ108">
            <v>8769.7626953125</v>
          </cell>
          <cell r="CA108">
            <v>11670.1201171875</v>
          </cell>
          <cell r="CB108">
            <v>9410.5234375</v>
          </cell>
          <cell r="CC108">
            <v>9618.6708984375</v>
          </cell>
          <cell r="CD108">
            <v>9618.6708984375</v>
          </cell>
        </row>
        <row r="109">
          <cell r="D109">
            <v>10323.419921875</v>
          </cell>
          <cell r="E109">
            <v>7270.57275390625</v>
          </cell>
          <cell r="F109">
            <v>7613.224609375</v>
          </cell>
          <cell r="G109">
            <v>10679.3037109375</v>
          </cell>
          <cell r="H109">
            <v>8221.6259765625</v>
          </cell>
          <cell r="I109">
            <v>11254.9833984375</v>
          </cell>
          <cell r="J109">
            <v>10399.5068359375</v>
          </cell>
          <cell r="K109">
            <v>8951.5380859375</v>
          </cell>
          <cell r="L109">
            <v>8797.9609375</v>
          </cell>
          <cell r="M109">
            <v>8974.3779296875</v>
          </cell>
          <cell r="N109">
            <v>11991.712890625</v>
          </cell>
          <cell r="O109">
            <v>9612.5751953125</v>
          </cell>
          <cell r="P109">
            <v>10377.267578125</v>
          </cell>
          <cell r="Q109">
            <v>7284.79443359375</v>
          </cell>
          <cell r="R109">
            <v>7687.74853515625</v>
          </cell>
          <cell r="S109">
            <v>10441.7255859375</v>
          </cell>
          <cell r="T109">
            <v>8250.5458984375</v>
          </cell>
          <cell r="U109">
            <v>11193.0419921875</v>
          </cell>
          <cell r="V109">
            <v>10370.955078125</v>
          </cell>
          <cell r="W109">
            <v>8950.26953125</v>
          </cell>
          <cell r="X109">
            <v>8832.5869140625</v>
          </cell>
          <cell r="Y109">
            <v>8958.9765625</v>
          </cell>
          <cell r="Z109">
            <v>11980.74609375</v>
          </cell>
          <cell r="AA109">
            <v>9626.2451171875</v>
          </cell>
          <cell r="AB109">
            <v>10409.7568359375</v>
          </cell>
          <cell r="AC109">
            <v>7286.841796875</v>
          </cell>
          <cell r="AD109">
            <v>7722.99658203125</v>
          </cell>
          <cell r="AE109">
            <v>10255.90625</v>
          </cell>
          <cell r="AF109">
            <v>8277.275390625</v>
          </cell>
          <cell r="AG109">
            <v>11217.9638671875</v>
          </cell>
          <cell r="AH109">
            <v>10371.7412109375</v>
          </cell>
          <cell r="AI109">
            <v>8958.4462890625</v>
          </cell>
          <cell r="AJ109">
            <v>8848.94140625</v>
          </cell>
          <cell r="AK109">
            <v>8998.6787109375</v>
          </cell>
          <cell r="AL109">
            <v>11960.17578125</v>
          </cell>
          <cell r="AM109">
            <v>9621.943359375</v>
          </cell>
          <cell r="AN109">
            <v>10423.794921875</v>
          </cell>
          <cell r="AO109">
            <v>7300.73046875</v>
          </cell>
          <cell r="AP109">
            <v>7766.71484375</v>
          </cell>
          <cell r="AQ109">
            <v>10242.6123046875</v>
          </cell>
          <cell r="AR109">
            <v>8286.6337890625</v>
          </cell>
          <cell r="AS109">
            <v>11069.7392578125</v>
          </cell>
          <cell r="AT109">
            <v>10341.05859375</v>
          </cell>
          <cell r="AU109">
            <v>8923.771484375</v>
          </cell>
          <cell r="AV109">
            <v>8867.67578125</v>
          </cell>
          <cell r="AW109">
            <v>8942.3828125</v>
          </cell>
          <cell r="AX109">
            <v>11961.3173828125</v>
          </cell>
          <cell r="AY109">
            <v>9651.5517578125</v>
          </cell>
          <cell r="AZ109">
            <v>10447.2919921875</v>
          </cell>
          <cell r="BA109">
            <v>7315.62548828125</v>
          </cell>
          <cell r="BB109">
            <v>7822.0283203125</v>
          </cell>
          <cell r="BC109">
            <v>10127.8134765625</v>
          </cell>
          <cell r="BD109">
            <v>8301.521484375</v>
          </cell>
          <cell r="BE109">
            <v>10955.583984375</v>
          </cell>
          <cell r="BF109">
            <v>10307.6669921875</v>
          </cell>
          <cell r="BG109">
            <v>8935.79296875</v>
          </cell>
          <cell r="BH109">
            <v>8908.1123046875</v>
          </cell>
          <cell r="BI109">
            <v>9024.8134765625</v>
          </cell>
          <cell r="BJ109">
            <v>11932.7236328125</v>
          </cell>
          <cell r="BK109">
            <v>9672.4462890625</v>
          </cell>
          <cell r="BL109">
            <v>9816.017578125</v>
          </cell>
          <cell r="BM109">
            <v>9824.5283203125</v>
          </cell>
          <cell r="BN109">
            <v>9864.9951171875</v>
          </cell>
          <cell r="BO109">
            <v>9878.3359375</v>
          </cell>
          <cell r="BP109">
            <v>9868.3935546875</v>
          </cell>
          <cell r="BQ109">
            <v>10399.533203125</v>
          </cell>
          <cell r="BR109">
            <v>7295.88232421875</v>
          </cell>
          <cell r="BS109">
            <v>7740.01318359375</v>
          </cell>
          <cell r="BT109">
            <v>10289.076171875</v>
          </cell>
          <cell r="BU109">
            <v>8281.0498046875</v>
          </cell>
          <cell r="BV109">
            <v>11076.3486328125</v>
          </cell>
          <cell r="BW109">
            <v>10343.388671875</v>
          </cell>
          <cell r="BX109">
            <v>8941.7041015625</v>
          </cell>
          <cell r="BY109">
            <v>8867.318359375</v>
          </cell>
          <cell r="BZ109">
            <v>8989.24609375</v>
          </cell>
          <cell r="CA109">
            <v>11954.330078125</v>
          </cell>
          <cell r="CB109">
            <v>9646.978515625</v>
          </cell>
          <cell r="CC109">
            <v>9856.8017578125</v>
          </cell>
          <cell r="CD109">
            <v>9856.8017578125</v>
          </cell>
        </row>
        <row r="110">
          <cell r="D110">
            <v>10670.6318359375</v>
          </cell>
          <cell r="E110">
            <v>7470.73583984375</v>
          </cell>
          <cell r="F110">
            <v>7691.072265625</v>
          </cell>
          <cell r="G110">
            <v>11031.1513671875</v>
          </cell>
          <cell r="H110">
            <v>8379.4326171875</v>
          </cell>
          <cell r="I110">
            <v>11481.3876953125</v>
          </cell>
          <cell r="J110">
            <v>10817.5234375</v>
          </cell>
          <cell r="K110">
            <v>9236.7861328125</v>
          </cell>
          <cell r="L110">
            <v>9013.5146484375</v>
          </cell>
          <cell r="M110">
            <v>8997.66796875</v>
          </cell>
          <cell r="N110">
            <v>12362.2939453125</v>
          </cell>
          <cell r="O110">
            <v>9855.0576171875</v>
          </cell>
          <cell r="P110">
            <v>10713.5361328125</v>
          </cell>
          <cell r="Q110">
            <v>7489.91064453125</v>
          </cell>
          <cell r="R110">
            <v>7768.8203125</v>
          </cell>
          <cell r="S110">
            <v>10789.5771484375</v>
          </cell>
          <cell r="T110">
            <v>8413.7861328125</v>
          </cell>
          <cell r="U110">
            <v>11422.5908203125</v>
          </cell>
          <cell r="V110">
            <v>10787.625</v>
          </cell>
          <cell r="W110">
            <v>9241.56640625</v>
          </cell>
          <cell r="X110">
            <v>9052.40625</v>
          </cell>
          <cell r="Y110">
            <v>8976.21484375</v>
          </cell>
          <cell r="Z110">
            <v>12358.6943359375</v>
          </cell>
          <cell r="AA110">
            <v>9876.7890625</v>
          </cell>
          <cell r="AB110">
            <v>10740.14453125</v>
          </cell>
          <cell r="AC110">
            <v>7489.80615234375</v>
          </cell>
          <cell r="AD110">
            <v>7804.80078125</v>
          </cell>
          <cell r="AE110">
            <v>10601.267578125</v>
          </cell>
          <cell r="AF110">
            <v>8441.3349609375</v>
          </cell>
          <cell r="AG110">
            <v>11447.5419921875</v>
          </cell>
          <cell r="AH110">
            <v>10785.2666015625</v>
          </cell>
          <cell r="AI110">
            <v>9253.3759765625</v>
          </cell>
          <cell r="AJ110">
            <v>9071.3623046875</v>
          </cell>
          <cell r="AK110">
            <v>9017.8134765625</v>
          </cell>
          <cell r="AL110">
            <v>12338.150390625</v>
          </cell>
          <cell r="AM110">
            <v>9874.306640625</v>
          </cell>
          <cell r="AN110">
            <v>10749.73828125</v>
          </cell>
          <cell r="AO110">
            <v>7504.578125</v>
          </cell>
          <cell r="AP110">
            <v>7850.12939453125</v>
          </cell>
          <cell r="AQ110">
            <v>10589.2265625</v>
          </cell>
          <cell r="AR110">
            <v>8450.4482421875</v>
          </cell>
          <cell r="AS110">
            <v>11304.0302734375</v>
          </cell>
          <cell r="AT110">
            <v>10755.69921875</v>
          </cell>
          <cell r="AU110">
            <v>9218.0986328125</v>
          </cell>
          <cell r="AV110">
            <v>9093.44140625</v>
          </cell>
          <cell r="AW110">
            <v>8963.880859375</v>
          </cell>
          <cell r="AX110">
            <v>12337.0576171875</v>
          </cell>
          <cell r="AY110">
            <v>9909.55078125</v>
          </cell>
          <cell r="AZ110">
            <v>10763.8662109375</v>
          </cell>
          <cell r="BA110">
            <v>7522.75634765625</v>
          </cell>
          <cell r="BB110">
            <v>7907.07666015625</v>
          </cell>
          <cell r="BC110">
            <v>10476.529296875</v>
          </cell>
          <cell r="BD110">
            <v>8468.2548828125</v>
          </cell>
          <cell r="BE110">
            <v>11194.025390625</v>
          </cell>
          <cell r="BF110">
            <v>10723.666015625</v>
          </cell>
          <cell r="BG110">
            <v>9235.2158203125</v>
          </cell>
          <cell r="BH110">
            <v>9136.9716796875</v>
          </cell>
          <cell r="BI110">
            <v>9030.05078125</v>
          </cell>
          <cell r="BJ110">
            <v>12299.1220703125</v>
          </cell>
          <cell r="BK110">
            <v>9943.8134765625</v>
          </cell>
          <cell r="BL110">
            <v>10102.953125</v>
          </cell>
          <cell r="BM110">
            <v>10107.560546875</v>
          </cell>
          <cell r="BN110">
            <v>10144.095703125</v>
          </cell>
          <cell r="BO110">
            <v>10158.0263671875</v>
          </cell>
          <cell r="BP110">
            <v>10143.3369140625</v>
          </cell>
          <cell r="BQ110">
            <v>10730</v>
          </cell>
          <cell r="BR110">
            <v>7500.32568359375</v>
          </cell>
          <cell r="BS110">
            <v>7822.43505859375</v>
          </cell>
          <cell r="BT110">
            <v>10636.96484375</v>
          </cell>
          <cell r="BU110">
            <v>8445.5078125</v>
          </cell>
          <cell r="BV110">
            <v>11310.3935546875</v>
          </cell>
          <cell r="BW110">
            <v>10758.9150390625</v>
          </cell>
          <cell r="BX110">
            <v>9236.0703125</v>
          </cell>
          <cell r="BY110">
            <v>9091.7744140625</v>
          </cell>
          <cell r="BZ110">
            <v>9003.4189453125</v>
          </cell>
          <cell r="CA110">
            <v>12326.4921875</v>
          </cell>
          <cell r="CB110">
            <v>9906.4267578125</v>
          </cell>
          <cell r="CC110">
            <v>10136.2578125</v>
          </cell>
          <cell r="CD110">
            <v>10136.2578125</v>
          </cell>
        </row>
        <row r="111">
          <cell r="D111">
            <v>11159.5</v>
          </cell>
          <cell r="E111">
            <v>7586.2216796875</v>
          </cell>
          <cell r="F111">
            <v>7681.21875</v>
          </cell>
          <cell r="G111">
            <v>11427.98828125</v>
          </cell>
          <cell r="H111">
            <v>8535.287109375</v>
          </cell>
          <cell r="I111">
            <v>11752.5888671875</v>
          </cell>
          <cell r="J111">
            <v>11039.736328125</v>
          </cell>
          <cell r="K111">
            <v>9565.60546875</v>
          </cell>
          <cell r="L111">
            <v>9120.8876953125</v>
          </cell>
          <cell r="M111">
            <v>9056.1181640625</v>
          </cell>
          <cell r="N111">
            <v>12853.3896484375</v>
          </cell>
          <cell r="O111">
            <v>10118.8837890625</v>
          </cell>
          <cell r="P111">
            <v>11206.982421875</v>
          </cell>
          <cell r="Q111">
            <v>7602.751953125</v>
          </cell>
          <cell r="R111">
            <v>7749.36767578125</v>
          </cell>
          <cell r="S111">
            <v>11133.6796875</v>
          </cell>
          <cell r="T111">
            <v>8568.0771484375</v>
          </cell>
          <cell r="U111">
            <v>11690.8994140625</v>
          </cell>
          <cell r="V111">
            <v>11007.783203125</v>
          </cell>
          <cell r="W111">
            <v>9574.2236328125</v>
          </cell>
          <cell r="X111">
            <v>9151.7587890625</v>
          </cell>
          <cell r="Y111">
            <v>9035.3408203125</v>
          </cell>
          <cell r="Z111">
            <v>12861.1513671875</v>
          </cell>
          <cell r="AA111">
            <v>10146.0546875</v>
          </cell>
          <cell r="AB111">
            <v>11237.4814453125</v>
          </cell>
          <cell r="AC111">
            <v>7605.5986328125</v>
          </cell>
          <cell r="AD111">
            <v>7782.8134765625</v>
          </cell>
          <cell r="AE111">
            <v>10920.4267578125</v>
          </cell>
          <cell r="AF111">
            <v>8598.4853515625</v>
          </cell>
          <cell r="AG111">
            <v>11718.880859375</v>
          </cell>
          <cell r="AH111">
            <v>11001.9111328125</v>
          </cell>
          <cell r="AI111">
            <v>9588.30859375</v>
          </cell>
          <cell r="AJ111">
            <v>9164.853515625</v>
          </cell>
          <cell r="AK111">
            <v>9077.1982421875</v>
          </cell>
          <cell r="AL111">
            <v>12848.4541015625</v>
          </cell>
          <cell r="AM111">
            <v>10146.3671875</v>
          </cell>
          <cell r="AN111">
            <v>11248.6103515625</v>
          </cell>
          <cell r="AO111">
            <v>7621.041015625</v>
          </cell>
          <cell r="AP111">
            <v>7822.7939453125</v>
          </cell>
          <cell r="AQ111">
            <v>10906.568359375</v>
          </cell>
          <cell r="AR111">
            <v>8607.78125</v>
          </cell>
          <cell r="AS111">
            <v>11567.748046875</v>
          </cell>
          <cell r="AT111">
            <v>10964.830078125</v>
          </cell>
          <cell r="AU111">
            <v>9552.9501953125</v>
          </cell>
          <cell r="AV111">
            <v>9187.5517578125</v>
          </cell>
          <cell r="AW111">
            <v>9020.6220703125</v>
          </cell>
          <cell r="AX111">
            <v>12851.9970703125</v>
          </cell>
          <cell r="AY111">
            <v>10184.6337890625</v>
          </cell>
          <cell r="AZ111">
            <v>11268.0830078125</v>
          </cell>
          <cell r="BA111">
            <v>7637.712890625</v>
          </cell>
          <cell r="BB111">
            <v>7873.30615234375</v>
          </cell>
          <cell r="BC111">
            <v>10773.1748046875</v>
          </cell>
          <cell r="BD111">
            <v>8620.765625</v>
          </cell>
          <cell r="BE111">
            <v>11452.4208984375</v>
          </cell>
          <cell r="BF111">
            <v>10922.8427734375</v>
          </cell>
          <cell r="BG111">
            <v>9574.1015625</v>
          </cell>
          <cell r="BH111">
            <v>9228.384765625</v>
          </cell>
          <cell r="BI111">
            <v>9086.90234375</v>
          </cell>
          <cell r="BJ111">
            <v>12825.96484375</v>
          </cell>
          <cell r="BK111">
            <v>10220.689453125</v>
          </cell>
          <cell r="BL111">
            <v>10426.4365234375</v>
          </cell>
          <cell r="BM111">
            <v>10412.6552734375</v>
          </cell>
          <cell r="BN111">
            <v>10444.8076171875</v>
          </cell>
          <cell r="BO111">
            <v>10447.498046875</v>
          </cell>
          <cell r="BP111">
            <v>10418.8623046875</v>
          </cell>
          <cell r="BQ111">
            <v>11226.9599609375</v>
          </cell>
          <cell r="BR111">
            <v>7615.40576171875</v>
          </cell>
          <cell r="BS111">
            <v>7797.986328125</v>
          </cell>
          <cell r="BT111">
            <v>10961.2333984375</v>
          </cell>
          <cell r="BU111">
            <v>8600.291015625</v>
          </cell>
          <cell r="BV111">
            <v>11574.318359375</v>
          </cell>
          <cell r="BW111">
            <v>10968.4052734375</v>
          </cell>
          <cell r="BX111">
            <v>9571.04296875</v>
          </cell>
          <cell r="BY111">
            <v>9186.9169921875</v>
          </cell>
          <cell r="BZ111">
            <v>9061.080078125</v>
          </cell>
          <cell r="CA111">
            <v>12842.0927734375</v>
          </cell>
          <cell r="CB111">
            <v>10179.7509765625</v>
          </cell>
          <cell r="CC111">
            <v>10429.7880859375</v>
          </cell>
          <cell r="CD111">
            <v>10429.7880859375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11"/>
  <sheetViews>
    <sheetView zoomScale="104" workbookViewId="0">
      <pane xSplit="3" ySplit="1" topLeftCell="D98" activePane="bottomRight" state="frozen"/>
      <selection pane="topRight" activeCell="D1" sqref="D1"/>
      <selection pane="bottomLeft" activeCell="A2" sqref="A2"/>
      <selection pane="bottomRight" activeCell="A111" sqref="A111:XFD111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11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11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  <row r="108" spans="1:89" ht="15.75" thickBot="1" x14ac:dyDescent="0.3">
      <c r="A108" s="2">
        <f>+[1]Sheet1!A108</f>
        <v>45931</v>
      </c>
      <c r="B108" s="1" t="str">
        <f t="shared" si="0"/>
        <v>Octubre</v>
      </c>
      <c r="C108" s="1">
        <f t="shared" si="1"/>
        <v>2025</v>
      </c>
      <c r="D108" s="57">
        <f>+[2]Sheet1!D108</f>
        <v>10030.4287109375</v>
      </c>
      <c r="E108" s="57">
        <f>+[2]Sheet1!E108</f>
        <v>7188.03466796875</v>
      </c>
      <c r="F108" s="57">
        <f>+[2]Sheet1!F108</f>
        <v>7568.15478515625</v>
      </c>
      <c r="G108" s="57">
        <f>+[2]Sheet1!G108</f>
        <v>10332.9404296875</v>
      </c>
      <c r="H108" s="57">
        <f>+[2]Sheet1!H108</f>
        <v>8128.48681640625</v>
      </c>
      <c r="I108" s="57">
        <f>+[2]Sheet1!I108</f>
        <v>10994.494140625</v>
      </c>
      <c r="J108" s="57">
        <f>+[2]Sheet1!J108</f>
        <v>10090.6376953125</v>
      </c>
      <c r="K108" s="57">
        <f>+[2]Sheet1!K108</f>
        <v>8719.255859375</v>
      </c>
      <c r="L108" s="57">
        <f>+[2]Sheet1!L108</f>
        <v>8603.5966796875</v>
      </c>
      <c r="M108" s="57">
        <f>+[2]Sheet1!M108</f>
        <v>8785.1787109375</v>
      </c>
      <c r="N108" s="57">
        <f>+[2]Sheet1!N108</f>
        <v>11735.19921875</v>
      </c>
      <c r="O108" s="57">
        <f>+[2]Sheet1!O108</f>
        <v>9383.392578125</v>
      </c>
      <c r="P108" s="57">
        <f>+[2]Sheet1!P108</f>
        <v>10086.9482421875</v>
      </c>
      <c r="Q108" s="57">
        <f>+[2]Sheet1!Q108</f>
        <v>7200.95166015625</v>
      </c>
      <c r="R108" s="57">
        <f>+[2]Sheet1!R108</f>
        <v>7644.0712890625</v>
      </c>
      <c r="S108" s="57">
        <f>+[2]Sheet1!S108</f>
        <v>10093.935546875</v>
      </c>
      <c r="T108" s="57">
        <f>+[2]Sheet1!T108</f>
        <v>8157.77685546875</v>
      </c>
      <c r="U108" s="57">
        <f>+[2]Sheet1!U108</f>
        <v>10932.888671875</v>
      </c>
      <c r="V108" s="57">
        <f>+[2]Sheet1!V108</f>
        <v>10060.5810546875</v>
      </c>
      <c r="W108" s="57">
        <f>+[2]Sheet1!W108</f>
        <v>8717.6337890625</v>
      </c>
      <c r="X108" s="57">
        <f>+[2]Sheet1!X108</f>
        <v>8628.966796875</v>
      </c>
      <c r="Y108" s="57">
        <f>+[2]Sheet1!Y108</f>
        <v>8749.513671875</v>
      </c>
      <c r="Z108" s="57">
        <f>+[2]Sheet1!Z108</f>
        <v>11713.318359375</v>
      </c>
      <c r="AA108" s="57">
        <f>+[2]Sheet1!AA108</f>
        <v>9391.64453125</v>
      </c>
      <c r="AB108" s="57">
        <f>+[2]Sheet1!AB108</f>
        <v>10122.77734375</v>
      </c>
      <c r="AC108" s="57">
        <f>+[2]Sheet1!AC108</f>
        <v>7202.919921875</v>
      </c>
      <c r="AD108" s="57">
        <f>+[2]Sheet1!AD108</f>
        <v>7678.41796875</v>
      </c>
      <c r="AE108" s="57">
        <f>+[2]Sheet1!AE108</f>
        <v>9911.2763671875</v>
      </c>
      <c r="AF108" s="57">
        <f>+[2]Sheet1!AF108</f>
        <v>8185.2412109375</v>
      </c>
      <c r="AG108" s="57">
        <f>+[2]Sheet1!AG108</f>
        <v>10957.154296875</v>
      </c>
      <c r="AH108" s="57">
        <f>+[2]Sheet1!AH108</f>
        <v>10061.7861328125</v>
      </c>
      <c r="AI108" s="57">
        <f>+[2]Sheet1!AI108</f>
        <v>8725.01171875</v>
      </c>
      <c r="AJ108" s="57">
        <f>+[2]Sheet1!AJ108</f>
        <v>8640.1640625</v>
      </c>
      <c r="AK108" s="57">
        <f>+[2]Sheet1!AK108</f>
        <v>8783.8759765625</v>
      </c>
      <c r="AL108" s="57">
        <f>+[2]Sheet1!AL108</f>
        <v>11679.7880859375</v>
      </c>
      <c r="AM108" s="57">
        <f>+[2]Sheet1!AM108</f>
        <v>9385.482421875</v>
      </c>
      <c r="AN108" s="57">
        <f>+[2]Sheet1!AN108</f>
        <v>10139.9755859375</v>
      </c>
      <c r="AO108" s="57">
        <f>+[2]Sheet1!AO108</f>
        <v>7216.125</v>
      </c>
      <c r="AP108" s="57">
        <f>+[2]Sheet1!AP108</f>
        <v>7726.54248046875</v>
      </c>
      <c r="AQ108" s="57">
        <f>+[2]Sheet1!AQ108</f>
        <v>9895.0419921875</v>
      </c>
      <c r="AR108" s="57">
        <f>+[2]Sheet1!AR108</f>
        <v>8193.9638671875</v>
      </c>
      <c r="AS108" s="57">
        <f>+[2]Sheet1!AS108</f>
        <v>10809.91015625</v>
      </c>
      <c r="AT108" s="57">
        <f>+[2]Sheet1!AT108</f>
        <v>10032.642578125</v>
      </c>
      <c r="AU108" s="57">
        <f>+[2]Sheet1!AU108</f>
        <v>8690.0234375</v>
      </c>
      <c r="AV108" s="57">
        <f>+[2]Sheet1!AV108</f>
        <v>8655.1298828125</v>
      </c>
      <c r="AW108" s="57">
        <f>+[2]Sheet1!AW108</f>
        <v>8729.5390625</v>
      </c>
      <c r="AX108" s="57">
        <f>+[2]Sheet1!AX108</f>
        <v>11675.216796875</v>
      </c>
      <c r="AY108" s="57">
        <f>+[2]Sheet1!AY108</f>
        <v>9414.572265625</v>
      </c>
      <c r="AZ108" s="57">
        <f>+[2]Sheet1!AZ108</f>
        <v>10166.7607421875</v>
      </c>
      <c r="BA108" s="57">
        <f>+[2]Sheet1!BA108</f>
        <v>7230.1181640625</v>
      </c>
      <c r="BB108" s="57">
        <f>+[2]Sheet1!BB108</f>
        <v>7784.927734375</v>
      </c>
      <c r="BC108" s="57">
        <f>+[2]Sheet1!BC108</f>
        <v>9782.0703125</v>
      </c>
      <c r="BD108" s="57">
        <f>+[2]Sheet1!BD108</f>
        <v>8207.638671875</v>
      </c>
      <c r="BE108" s="57">
        <f>+[2]Sheet1!BE108</f>
        <v>10696.435546875</v>
      </c>
      <c r="BF108" s="57">
        <f>+[2]Sheet1!BF108</f>
        <v>10004.892578125</v>
      </c>
      <c r="BG108" s="57">
        <f>+[2]Sheet1!BG108</f>
        <v>8699.908203125</v>
      </c>
      <c r="BH108" s="57">
        <f>+[2]Sheet1!BH108</f>
        <v>8689.34375</v>
      </c>
      <c r="BI108" s="57">
        <f>+[2]Sheet1!BI108</f>
        <v>8791.341796875</v>
      </c>
      <c r="BJ108" s="57">
        <f>+[2]Sheet1!BJ108</f>
        <v>11637.5517578125</v>
      </c>
      <c r="BK108" s="57">
        <f>+[2]Sheet1!BK108</f>
        <v>9433.685546875</v>
      </c>
      <c r="BL108" s="57">
        <f>+[2]Sheet1!BL108</f>
        <v>9576.841796875</v>
      </c>
      <c r="BM108" s="57">
        <f>+[2]Sheet1!BM108</f>
        <v>9585.8955078125</v>
      </c>
      <c r="BN108" s="57">
        <f>+[2]Sheet1!BN108</f>
        <v>9625.767578125</v>
      </c>
      <c r="BO108" s="57">
        <f>+[2]Sheet1!BO108</f>
        <v>9639.7626953125</v>
      </c>
      <c r="BP108" s="57">
        <f>+[2]Sheet1!BP108</f>
        <v>9631.8046875</v>
      </c>
      <c r="BQ108" s="57">
        <f>+[2]Sheet1!BQ108</f>
        <v>10112.9619140625</v>
      </c>
      <c r="BR108" s="57">
        <f>+[2]Sheet1!BR108</f>
        <v>7211.5380859375</v>
      </c>
      <c r="BS108" s="57">
        <f>+[2]Sheet1!BS108</f>
        <v>7698.6396484375</v>
      </c>
      <c r="BT108" s="57">
        <f>+[2]Sheet1!BT108</f>
        <v>9942.7392578125</v>
      </c>
      <c r="BU108" s="57">
        <f>+[2]Sheet1!BU108</f>
        <v>8187.9169921875</v>
      </c>
      <c r="BV108" s="57">
        <f>+[2]Sheet1!BV108</f>
        <v>10816.544921875</v>
      </c>
      <c r="BW108" s="57">
        <f>+[2]Sheet1!BW108</f>
        <v>10036.421875</v>
      </c>
      <c r="BX108" s="57">
        <f>+[2]Sheet1!BX108</f>
        <v>8707.75390625</v>
      </c>
      <c r="BY108" s="57">
        <f>+[2]Sheet1!BY108</f>
        <v>8656.2509765625</v>
      </c>
      <c r="BZ108" s="57">
        <f>+[2]Sheet1!BZ108</f>
        <v>8769.7626953125</v>
      </c>
      <c r="CA108" s="57">
        <f>+[2]Sheet1!CA108</f>
        <v>11670.1201171875</v>
      </c>
      <c r="CB108" s="57">
        <f>+[2]Sheet1!CB108</f>
        <v>9410.5234375</v>
      </c>
      <c r="CC108" s="57">
        <f>+[2]Sheet1!CC108</f>
        <v>9618.6708984375</v>
      </c>
      <c r="CD108" s="57">
        <f>+[2]Sheet1!CD108</f>
        <v>9618.6708984375</v>
      </c>
      <c r="CJ108" s="46"/>
      <c r="CK108" s="41"/>
    </row>
    <row r="109" spans="1:89" ht="15.75" thickBot="1" x14ac:dyDescent="0.3">
      <c r="A109" s="2">
        <f>+[1]Sheet1!A109</f>
        <v>45962</v>
      </c>
      <c r="B109" s="1" t="str">
        <f t="shared" si="0"/>
        <v>Noviembre</v>
      </c>
      <c r="C109" s="1">
        <f t="shared" si="1"/>
        <v>2025</v>
      </c>
      <c r="D109" s="57">
        <f>+[2]Sheet1!D109</f>
        <v>10323.419921875</v>
      </c>
      <c r="E109" s="57">
        <f>+[2]Sheet1!E109</f>
        <v>7270.57275390625</v>
      </c>
      <c r="F109" s="57">
        <f>+[2]Sheet1!F109</f>
        <v>7613.224609375</v>
      </c>
      <c r="G109" s="57">
        <f>+[2]Sheet1!G109</f>
        <v>10679.3037109375</v>
      </c>
      <c r="H109" s="57">
        <f>+[2]Sheet1!H109</f>
        <v>8221.6259765625</v>
      </c>
      <c r="I109" s="57">
        <f>+[2]Sheet1!I109</f>
        <v>11254.9833984375</v>
      </c>
      <c r="J109" s="57">
        <f>+[2]Sheet1!J109</f>
        <v>10399.5068359375</v>
      </c>
      <c r="K109" s="57">
        <f>+[2]Sheet1!K109</f>
        <v>8951.5380859375</v>
      </c>
      <c r="L109" s="57">
        <f>+[2]Sheet1!L109</f>
        <v>8797.9609375</v>
      </c>
      <c r="M109" s="57">
        <f>+[2]Sheet1!M109</f>
        <v>8974.3779296875</v>
      </c>
      <c r="N109" s="57">
        <f>+[2]Sheet1!N109</f>
        <v>11991.712890625</v>
      </c>
      <c r="O109" s="57">
        <f>+[2]Sheet1!O109</f>
        <v>9612.5751953125</v>
      </c>
      <c r="P109" s="57">
        <f>+[2]Sheet1!P109</f>
        <v>10377.267578125</v>
      </c>
      <c r="Q109" s="57">
        <f>+[2]Sheet1!Q109</f>
        <v>7284.79443359375</v>
      </c>
      <c r="R109" s="57">
        <f>+[2]Sheet1!R109</f>
        <v>7687.74853515625</v>
      </c>
      <c r="S109" s="57">
        <f>+[2]Sheet1!S109</f>
        <v>10441.7255859375</v>
      </c>
      <c r="T109" s="57">
        <f>+[2]Sheet1!T109</f>
        <v>8250.5458984375</v>
      </c>
      <c r="U109" s="57">
        <f>+[2]Sheet1!U109</f>
        <v>11193.0419921875</v>
      </c>
      <c r="V109" s="57">
        <f>+[2]Sheet1!V109</f>
        <v>10370.955078125</v>
      </c>
      <c r="W109" s="57">
        <f>+[2]Sheet1!W109</f>
        <v>8950.26953125</v>
      </c>
      <c r="X109" s="57">
        <f>+[2]Sheet1!X109</f>
        <v>8832.5869140625</v>
      </c>
      <c r="Y109" s="57">
        <f>+[2]Sheet1!Y109</f>
        <v>8958.9765625</v>
      </c>
      <c r="Z109" s="57">
        <f>+[2]Sheet1!Z109</f>
        <v>11980.74609375</v>
      </c>
      <c r="AA109" s="57">
        <f>+[2]Sheet1!AA109</f>
        <v>9626.2451171875</v>
      </c>
      <c r="AB109" s="57">
        <f>+[2]Sheet1!AB109</f>
        <v>10409.7568359375</v>
      </c>
      <c r="AC109" s="57">
        <f>+[2]Sheet1!AC109</f>
        <v>7286.841796875</v>
      </c>
      <c r="AD109" s="57">
        <f>+[2]Sheet1!AD109</f>
        <v>7722.99658203125</v>
      </c>
      <c r="AE109" s="57">
        <f>+[2]Sheet1!AE109</f>
        <v>10255.90625</v>
      </c>
      <c r="AF109" s="57">
        <f>+[2]Sheet1!AF109</f>
        <v>8277.275390625</v>
      </c>
      <c r="AG109" s="57">
        <f>+[2]Sheet1!AG109</f>
        <v>11217.9638671875</v>
      </c>
      <c r="AH109" s="57">
        <f>+[2]Sheet1!AH109</f>
        <v>10371.7412109375</v>
      </c>
      <c r="AI109" s="57">
        <f>+[2]Sheet1!AI109</f>
        <v>8958.4462890625</v>
      </c>
      <c r="AJ109" s="57">
        <f>+[2]Sheet1!AJ109</f>
        <v>8848.94140625</v>
      </c>
      <c r="AK109" s="57">
        <f>+[2]Sheet1!AK109</f>
        <v>8998.6787109375</v>
      </c>
      <c r="AL109" s="57">
        <f>+[2]Sheet1!AL109</f>
        <v>11960.17578125</v>
      </c>
      <c r="AM109" s="57">
        <f>+[2]Sheet1!AM109</f>
        <v>9621.943359375</v>
      </c>
      <c r="AN109" s="57">
        <f>+[2]Sheet1!AN109</f>
        <v>10423.794921875</v>
      </c>
      <c r="AO109" s="57">
        <f>+[2]Sheet1!AO109</f>
        <v>7300.73046875</v>
      </c>
      <c r="AP109" s="57">
        <f>+[2]Sheet1!AP109</f>
        <v>7766.71484375</v>
      </c>
      <c r="AQ109" s="57">
        <f>+[2]Sheet1!AQ109</f>
        <v>10242.6123046875</v>
      </c>
      <c r="AR109" s="57">
        <f>+[2]Sheet1!AR109</f>
        <v>8286.6337890625</v>
      </c>
      <c r="AS109" s="57">
        <f>+[2]Sheet1!AS109</f>
        <v>11069.7392578125</v>
      </c>
      <c r="AT109" s="57">
        <f>+[2]Sheet1!AT109</f>
        <v>10341.05859375</v>
      </c>
      <c r="AU109" s="57">
        <f>+[2]Sheet1!AU109</f>
        <v>8923.771484375</v>
      </c>
      <c r="AV109" s="57">
        <f>+[2]Sheet1!AV109</f>
        <v>8867.67578125</v>
      </c>
      <c r="AW109" s="57">
        <f>+[2]Sheet1!AW109</f>
        <v>8942.3828125</v>
      </c>
      <c r="AX109" s="57">
        <f>+[2]Sheet1!AX109</f>
        <v>11961.3173828125</v>
      </c>
      <c r="AY109" s="57">
        <f>+[2]Sheet1!AY109</f>
        <v>9651.5517578125</v>
      </c>
      <c r="AZ109" s="57">
        <f>+[2]Sheet1!AZ109</f>
        <v>10447.2919921875</v>
      </c>
      <c r="BA109" s="57">
        <f>+[2]Sheet1!BA109</f>
        <v>7315.62548828125</v>
      </c>
      <c r="BB109" s="57">
        <f>+[2]Sheet1!BB109</f>
        <v>7822.0283203125</v>
      </c>
      <c r="BC109" s="57">
        <f>+[2]Sheet1!BC109</f>
        <v>10127.8134765625</v>
      </c>
      <c r="BD109" s="57">
        <f>+[2]Sheet1!BD109</f>
        <v>8301.521484375</v>
      </c>
      <c r="BE109" s="57">
        <f>+[2]Sheet1!BE109</f>
        <v>10955.583984375</v>
      </c>
      <c r="BF109" s="57">
        <f>+[2]Sheet1!BF109</f>
        <v>10307.6669921875</v>
      </c>
      <c r="BG109" s="57">
        <f>+[2]Sheet1!BG109</f>
        <v>8935.79296875</v>
      </c>
      <c r="BH109" s="57">
        <f>+[2]Sheet1!BH109</f>
        <v>8908.1123046875</v>
      </c>
      <c r="BI109" s="57">
        <f>+[2]Sheet1!BI109</f>
        <v>9024.8134765625</v>
      </c>
      <c r="BJ109" s="57">
        <f>+[2]Sheet1!BJ109</f>
        <v>11932.7236328125</v>
      </c>
      <c r="BK109" s="57">
        <f>+[2]Sheet1!BK109</f>
        <v>9672.4462890625</v>
      </c>
      <c r="BL109" s="57">
        <f>+[2]Sheet1!BL109</f>
        <v>9816.017578125</v>
      </c>
      <c r="BM109" s="57">
        <f>+[2]Sheet1!BM109</f>
        <v>9824.5283203125</v>
      </c>
      <c r="BN109" s="57">
        <f>+[2]Sheet1!BN109</f>
        <v>9864.9951171875</v>
      </c>
      <c r="BO109" s="57">
        <f>+[2]Sheet1!BO109</f>
        <v>9878.3359375</v>
      </c>
      <c r="BP109" s="57">
        <f>+[2]Sheet1!BP109</f>
        <v>9868.3935546875</v>
      </c>
      <c r="BQ109" s="57">
        <f>+[2]Sheet1!BQ109</f>
        <v>10399.533203125</v>
      </c>
      <c r="BR109" s="57">
        <f>+[2]Sheet1!BR109</f>
        <v>7295.88232421875</v>
      </c>
      <c r="BS109" s="57">
        <f>+[2]Sheet1!BS109</f>
        <v>7740.01318359375</v>
      </c>
      <c r="BT109" s="57">
        <f>+[2]Sheet1!BT109</f>
        <v>10289.076171875</v>
      </c>
      <c r="BU109" s="57">
        <f>+[2]Sheet1!BU109</f>
        <v>8281.0498046875</v>
      </c>
      <c r="BV109" s="57">
        <f>+[2]Sheet1!BV109</f>
        <v>11076.3486328125</v>
      </c>
      <c r="BW109" s="57">
        <f>+[2]Sheet1!BW109</f>
        <v>10343.388671875</v>
      </c>
      <c r="BX109" s="57">
        <f>+[2]Sheet1!BX109</f>
        <v>8941.7041015625</v>
      </c>
      <c r="BY109" s="57">
        <f>+[2]Sheet1!BY109</f>
        <v>8867.318359375</v>
      </c>
      <c r="BZ109" s="57">
        <f>+[2]Sheet1!BZ109</f>
        <v>8989.24609375</v>
      </c>
      <c r="CA109" s="57">
        <f>+[2]Sheet1!CA109</f>
        <v>11954.330078125</v>
      </c>
      <c r="CB109" s="57">
        <f>+[2]Sheet1!CB109</f>
        <v>9646.978515625</v>
      </c>
      <c r="CC109" s="57">
        <f>+[2]Sheet1!CC109</f>
        <v>9856.8017578125</v>
      </c>
      <c r="CD109" s="57">
        <f>+[2]Sheet1!CD109</f>
        <v>9856.8017578125</v>
      </c>
      <c r="CJ109" s="46"/>
      <c r="CK109" s="41"/>
    </row>
    <row r="110" spans="1:89" ht="15.75" thickBot="1" x14ac:dyDescent="0.3">
      <c r="A110" s="2">
        <f>+[1]Sheet1!A110</f>
        <v>45992</v>
      </c>
      <c r="B110" s="1" t="str">
        <f t="shared" si="0"/>
        <v>Diciembre</v>
      </c>
      <c r="C110" s="1">
        <f t="shared" si="1"/>
        <v>2025</v>
      </c>
      <c r="D110" s="57">
        <f>+[2]Sheet1!D110</f>
        <v>10670.6318359375</v>
      </c>
      <c r="E110" s="57">
        <f>+[2]Sheet1!E110</f>
        <v>7470.73583984375</v>
      </c>
      <c r="F110" s="57">
        <f>+[2]Sheet1!F110</f>
        <v>7691.072265625</v>
      </c>
      <c r="G110" s="57">
        <f>+[2]Sheet1!G110</f>
        <v>11031.1513671875</v>
      </c>
      <c r="H110" s="57">
        <f>+[2]Sheet1!H110</f>
        <v>8379.4326171875</v>
      </c>
      <c r="I110" s="57">
        <f>+[2]Sheet1!I110</f>
        <v>11481.3876953125</v>
      </c>
      <c r="J110" s="57">
        <f>+[2]Sheet1!J110</f>
        <v>10817.5234375</v>
      </c>
      <c r="K110" s="57">
        <f>+[2]Sheet1!K110</f>
        <v>9236.7861328125</v>
      </c>
      <c r="L110" s="57">
        <f>+[2]Sheet1!L110</f>
        <v>9013.5146484375</v>
      </c>
      <c r="M110" s="57">
        <f>+[2]Sheet1!M110</f>
        <v>8997.66796875</v>
      </c>
      <c r="N110" s="57">
        <f>+[2]Sheet1!N110</f>
        <v>12362.2939453125</v>
      </c>
      <c r="O110" s="57">
        <f>+[2]Sheet1!O110</f>
        <v>9855.0576171875</v>
      </c>
      <c r="P110" s="57">
        <f>+[2]Sheet1!P110</f>
        <v>10713.5361328125</v>
      </c>
      <c r="Q110" s="57">
        <f>+[2]Sheet1!Q110</f>
        <v>7489.91064453125</v>
      </c>
      <c r="R110" s="57">
        <f>+[2]Sheet1!R110</f>
        <v>7768.8203125</v>
      </c>
      <c r="S110" s="57">
        <f>+[2]Sheet1!S110</f>
        <v>10789.5771484375</v>
      </c>
      <c r="T110" s="57">
        <f>+[2]Sheet1!T110</f>
        <v>8413.7861328125</v>
      </c>
      <c r="U110" s="57">
        <f>+[2]Sheet1!U110</f>
        <v>11422.5908203125</v>
      </c>
      <c r="V110" s="57">
        <f>+[2]Sheet1!V110</f>
        <v>10787.625</v>
      </c>
      <c r="W110" s="57">
        <f>+[2]Sheet1!W110</f>
        <v>9241.56640625</v>
      </c>
      <c r="X110" s="57">
        <f>+[2]Sheet1!X110</f>
        <v>9052.40625</v>
      </c>
      <c r="Y110" s="57">
        <f>+[2]Sheet1!Y110</f>
        <v>8976.21484375</v>
      </c>
      <c r="Z110" s="57">
        <f>+[2]Sheet1!Z110</f>
        <v>12358.6943359375</v>
      </c>
      <c r="AA110" s="57">
        <f>+[2]Sheet1!AA110</f>
        <v>9876.7890625</v>
      </c>
      <c r="AB110" s="57">
        <f>+[2]Sheet1!AB110</f>
        <v>10740.14453125</v>
      </c>
      <c r="AC110" s="57">
        <f>+[2]Sheet1!AC110</f>
        <v>7489.80615234375</v>
      </c>
      <c r="AD110" s="57">
        <f>+[2]Sheet1!AD110</f>
        <v>7804.80078125</v>
      </c>
      <c r="AE110" s="57">
        <f>+[2]Sheet1!AE110</f>
        <v>10601.267578125</v>
      </c>
      <c r="AF110" s="57">
        <f>+[2]Sheet1!AF110</f>
        <v>8441.3349609375</v>
      </c>
      <c r="AG110" s="57">
        <f>+[2]Sheet1!AG110</f>
        <v>11447.5419921875</v>
      </c>
      <c r="AH110" s="57">
        <f>+[2]Sheet1!AH110</f>
        <v>10785.2666015625</v>
      </c>
      <c r="AI110" s="57">
        <f>+[2]Sheet1!AI110</f>
        <v>9253.3759765625</v>
      </c>
      <c r="AJ110" s="57">
        <f>+[2]Sheet1!AJ110</f>
        <v>9071.3623046875</v>
      </c>
      <c r="AK110" s="57">
        <f>+[2]Sheet1!AK110</f>
        <v>9017.8134765625</v>
      </c>
      <c r="AL110" s="57">
        <f>+[2]Sheet1!AL110</f>
        <v>12338.150390625</v>
      </c>
      <c r="AM110" s="57">
        <f>+[2]Sheet1!AM110</f>
        <v>9874.306640625</v>
      </c>
      <c r="AN110" s="57">
        <f>+[2]Sheet1!AN110</f>
        <v>10749.73828125</v>
      </c>
      <c r="AO110" s="57">
        <f>+[2]Sheet1!AO110</f>
        <v>7504.578125</v>
      </c>
      <c r="AP110" s="57">
        <f>+[2]Sheet1!AP110</f>
        <v>7850.12939453125</v>
      </c>
      <c r="AQ110" s="57">
        <f>+[2]Sheet1!AQ110</f>
        <v>10589.2265625</v>
      </c>
      <c r="AR110" s="57">
        <f>+[2]Sheet1!AR110</f>
        <v>8450.4482421875</v>
      </c>
      <c r="AS110" s="57">
        <f>+[2]Sheet1!AS110</f>
        <v>11304.0302734375</v>
      </c>
      <c r="AT110" s="57">
        <f>+[2]Sheet1!AT110</f>
        <v>10755.69921875</v>
      </c>
      <c r="AU110" s="57">
        <f>+[2]Sheet1!AU110</f>
        <v>9218.0986328125</v>
      </c>
      <c r="AV110" s="57">
        <f>+[2]Sheet1!AV110</f>
        <v>9093.44140625</v>
      </c>
      <c r="AW110" s="57">
        <f>+[2]Sheet1!AW110</f>
        <v>8963.880859375</v>
      </c>
      <c r="AX110" s="57">
        <f>+[2]Sheet1!AX110</f>
        <v>12337.0576171875</v>
      </c>
      <c r="AY110" s="57">
        <f>+[2]Sheet1!AY110</f>
        <v>9909.55078125</v>
      </c>
      <c r="AZ110" s="57">
        <f>+[2]Sheet1!AZ110</f>
        <v>10763.8662109375</v>
      </c>
      <c r="BA110" s="57">
        <f>+[2]Sheet1!BA110</f>
        <v>7522.75634765625</v>
      </c>
      <c r="BB110" s="57">
        <f>+[2]Sheet1!BB110</f>
        <v>7907.07666015625</v>
      </c>
      <c r="BC110" s="57">
        <f>+[2]Sheet1!BC110</f>
        <v>10476.529296875</v>
      </c>
      <c r="BD110" s="57">
        <f>+[2]Sheet1!BD110</f>
        <v>8468.2548828125</v>
      </c>
      <c r="BE110" s="57">
        <f>+[2]Sheet1!BE110</f>
        <v>11194.025390625</v>
      </c>
      <c r="BF110" s="57">
        <f>+[2]Sheet1!BF110</f>
        <v>10723.666015625</v>
      </c>
      <c r="BG110" s="57">
        <f>+[2]Sheet1!BG110</f>
        <v>9235.2158203125</v>
      </c>
      <c r="BH110" s="57">
        <f>+[2]Sheet1!BH110</f>
        <v>9136.9716796875</v>
      </c>
      <c r="BI110" s="57">
        <f>+[2]Sheet1!BI110</f>
        <v>9030.05078125</v>
      </c>
      <c r="BJ110" s="57">
        <f>+[2]Sheet1!BJ110</f>
        <v>12299.1220703125</v>
      </c>
      <c r="BK110" s="57">
        <f>+[2]Sheet1!BK110</f>
        <v>9943.8134765625</v>
      </c>
      <c r="BL110" s="57">
        <f>+[2]Sheet1!BL110</f>
        <v>10102.953125</v>
      </c>
      <c r="BM110" s="57">
        <f>+[2]Sheet1!BM110</f>
        <v>10107.560546875</v>
      </c>
      <c r="BN110" s="57">
        <f>+[2]Sheet1!BN110</f>
        <v>10144.095703125</v>
      </c>
      <c r="BO110" s="57">
        <f>+[2]Sheet1!BO110</f>
        <v>10158.0263671875</v>
      </c>
      <c r="BP110" s="57">
        <f>+[2]Sheet1!BP110</f>
        <v>10143.3369140625</v>
      </c>
      <c r="BQ110" s="57">
        <f>+[2]Sheet1!BQ110</f>
        <v>10730</v>
      </c>
      <c r="BR110" s="57">
        <f>+[2]Sheet1!BR110</f>
        <v>7500.32568359375</v>
      </c>
      <c r="BS110" s="57">
        <f>+[2]Sheet1!BS110</f>
        <v>7822.43505859375</v>
      </c>
      <c r="BT110" s="57">
        <f>+[2]Sheet1!BT110</f>
        <v>10636.96484375</v>
      </c>
      <c r="BU110" s="57">
        <f>+[2]Sheet1!BU110</f>
        <v>8445.5078125</v>
      </c>
      <c r="BV110" s="57">
        <f>+[2]Sheet1!BV110</f>
        <v>11310.3935546875</v>
      </c>
      <c r="BW110" s="57">
        <f>+[2]Sheet1!BW110</f>
        <v>10758.9150390625</v>
      </c>
      <c r="BX110" s="57">
        <f>+[2]Sheet1!BX110</f>
        <v>9236.0703125</v>
      </c>
      <c r="BY110" s="57">
        <f>+[2]Sheet1!BY110</f>
        <v>9091.7744140625</v>
      </c>
      <c r="BZ110" s="57">
        <f>+[2]Sheet1!BZ110</f>
        <v>9003.4189453125</v>
      </c>
      <c r="CA110" s="57">
        <f>+[2]Sheet1!CA110</f>
        <v>12326.4921875</v>
      </c>
      <c r="CB110" s="57">
        <f>+[2]Sheet1!CB110</f>
        <v>9906.4267578125</v>
      </c>
      <c r="CC110" s="57">
        <f>+[2]Sheet1!CC110</f>
        <v>10136.2578125</v>
      </c>
      <c r="CD110" s="57">
        <f>+[2]Sheet1!CD110</f>
        <v>10136.2578125</v>
      </c>
      <c r="CJ110" s="46"/>
      <c r="CK110" s="41"/>
    </row>
    <row r="111" spans="1:89" ht="15.75" thickBot="1" x14ac:dyDescent="0.3">
      <c r="A111" s="2">
        <f>+[1]Sheet1!A111</f>
        <v>46023</v>
      </c>
      <c r="B111" s="1" t="str">
        <f t="shared" si="0"/>
        <v>Enero</v>
      </c>
      <c r="C111" s="1">
        <f t="shared" si="1"/>
        <v>2026</v>
      </c>
      <c r="D111" s="57">
        <f>+[2]Sheet1!D111</f>
        <v>11159.5</v>
      </c>
      <c r="E111" s="57">
        <f>+[2]Sheet1!E111</f>
        <v>7586.2216796875</v>
      </c>
      <c r="F111" s="57">
        <f>+[2]Sheet1!F111</f>
        <v>7681.21875</v>
      </c>
      <c r="G111" s="57">
        <f>+[2]Sheet1!G111</f>
        <v>11427.98828125</v>
      </c>
      <c r="H111" s="57">
        <f>+[2]Sheet1!H111</f>
        <v>8535.287109375</v>
      </c>
      <c r="I111" s="57">
        <f>+[2]Sheet1!I111</f>
        <v>11752.5888671875</v>
      </c>
      <c r="J111" s="57">
        <f>+[2]Sheet1!J111</f>
        <v>11039.736328125</v>
      </c>
      <c r="K111" s="57">
        <f>+[2]Sheet1!K111</f>
        <v>9565.60546875</v>
      </c>
      <c r="L111" s="57">
        <f>+[2]Sheet1!L111</f>
        <v>9120.8876953125</v>
      </c>
      <c r="M111" s="57">
        <f>+[2]Sheet1!M111</f>
        <v>9056.1181640625</v>
      </c>
      <c r="N111" s="57">
        <f>+[2]Sheet1!N111</f>
        <v>12853.3896484375</v>
      </c>
      <c r="O111" s="57">
        <f>+[2]Sheet1!O111</f>
        <v>10118.8837890625</v>
      </c>
      <c r="P111" s="57">
        <f>+[2]Sheet1!P111</f>
        <v>11206.982421875</v>
      </c>
      <c r="Q111" s="57">
        <f>+[2]Sheet1!Q111</f>
        <v>7602.751953125</v>
      </c>
      <c r="R111" s="57">
        <f>+[2]Sheet1!R111</f>
        <v>7749.36767578125</v>
      </c>
      <c r="S111" s="57">
        <f>+[2]Sheet1!S111</f>
        <v>11133.6796875</v>
      </c>
      <c r="T111" s="57">
        <f>+[2]Sheet1!T111</f>
        <v>8568.0771484375</v>
      </c>
      <c r="U111" s="57">
        <f>+[2]Sheet1!U111</f>
        <v>11690.8994140625</v>
      </c>
      <c r="V111" s="57">
        <f>+[2]Sheet1!V111</f>
        <v>11007.783203125</v>
      </c>
      <c r="W111" s="57">
        <f>+[2]Sheet1!W111</f>
        <v>9574.2236328125</v>
      </c>
      <c r="X111" s="57">
        <f>+[2]Sheet1!X111</f>
        <v>9151.7587890625</v>
      </c>
      <c r="Y111" s="57">
        <f>+[2]Sheet1!Y111</f>
        <v>9035.3408203125</v>
      </c>
      <c r="Z111" s="57">
        <f>+[2]Sheet1!Z111</f>
        <v>12861.1513671875</v>
      </c>
      <c r="AA111" s="57">
        <f>+[2]Sheet1!AA111</f>
        <v>10146.0546875</v>
      </c>
      <c r="AB111" s="57">
        <f>+[2]Sheet1!AB111</f>
        <v>11237.4814453125</v>
      </c>
      <c r="AC111" s="57">
        <f>+[2]Sheet1!AC111</f>
        <v>7605.5986328125</v>
      </c>
      <c r="AD111" s="57">
        <f>+[2]Sheet1!AD111</f>
        <v>7782.8134765625</v>
      </c>
      <c r="AE111" s="57">
        <f>+[2]Sheet1!AE111</f>
        <v>10920.4267578125</v>
      </c>
      <c r="AF111" s="57">
        <f>+[2]Sheet1!AF111</f>
        <v>8598.4853515625</v>
      </c>
      <c r="AG111" s="57">
        <f>+[2]Sheet1!AG111</f>
        <v>11718.880859375</v>
      </c>
      <c r="AH111" s="57">
        <f>+[2]Sheet1!AH111</f>
        <v>11001.9111328125</v>
      </c>
      <c r="AI111" s="57">
        <f>+[2]Sheet1!AI111</f>
        <v>9588.30859375</v>
      </c>
      <c r="AJ111" s="57">
        <f>+[2]Sheet1!AJ111</f>
        <v>9164.853515625</v>
      </c>
      <c r="AK111" s="57">
        <f>+[2]Sheet1!AK111</f>
        <v>9077.1982421875</v>
      </c>
      <c r="AL111" s="57">
        <f>+[2]Sheet1!AL111</f>
        <v>12848.4541015625</v>
      </c>
      <c r="AM111" s="57">
        <f>+[2]Sheet1!AM111</f>
        <v>10146.3671875</v>
      </c>
      <c r="AN111" s="57">
        <f>+[2]Sheet1!AN111</f>
        <v>11248.6103515625</v>
      </c>
      <c r="AO111" s="57">
        <f>+[2]Sheet1!AO111</f>
        <v>7621.041015625</v>
      </c>
      <c r="AP111" s="57">
        <f>+[2]Sheet1!AP111</f>
        <v>7822.7939453125</v>
      </c>
      <c r="AQ111" s="57">
        <f>+[2]Sheet1!AQ111</f>
        <v>10906.568359375</v>
      </c>
      <c r="AR111" s="57">
        <f>+[2]Sheet1!AR111</f>
        <v>8607.78125</v>
      </c>
      <c r="AS111" s="57">
        <f>+[2]Sheet1!AS111</f>
        <v>11567.748046875</v>
      </c>
      <c r="AT111" s="57">
        <f>+[2]Sheet1!AT111</f>
        <v>10964.830078125</v>
      </c>
      <c r="AU111" s="57">
        <f>+[2]Sheet1!AU111</f>
        <v>9552.9501953125</v>
      </c>
      <c r="AV111" s="57">
        <f>+[2]Sheet1!AV111</f>
        <v>9187.5517578125</v>
      </c>
      <c r="AW111" s="57">
        <f>+[2]Sheet1!AW111</f>
        <v>9020.6220703125</v>
      </c>
      <c r="AX111" s="57">
        <f>+[2]Sheet1!AX111</f>
        <v>12851.9970703125</v>
      </c>
      <c r="AY111" s="57">
        <f>+[2]Sheet1!AY111</f>
        <v>10184.6337890625</v>
      </c>
      <c r="AZ111" s="57">
        <f>+[2]Sheet1!AZ111</f>
        <v>11268.0830078125</v>
      </c>
      <c r="BA111" s="57">
        <f>+[2]Sheet1!BA111</f>
        <v>7637.712890625</v>
      </c>
      <c r="BB111" s="57">
        <f>+[2]Sheet1!BB111</f>
        <v>7873.30615234375</v>
      </c>
      <c r="BC111" s="57">
        <f>+[2]Sheet1!BC111</f>
        <v>10773.1748046875</v>
      </c>
      <c r="BD111" s="57">
        <f>+[2]Sheet1!BD111</f>
        <v>8620.765625</v>
      </c>
      <c r="BE111" s="57">
        <f>+[2]Sheet1!BE111</f>
        <v>11452.4208984375</v>
      </c>
      <c r="BF111" s="57">
        <f>+[2]Sheet1!BF111</f>
        <v>10922.8427734375</v>
      </c>
      <c r="BG111" s="57">
        <f>+[2]Sheet1!BG111</f>
        <v>9574.1015625</v>
      </c>
      <c r="BH111" s="57">
        <f>+[2]Sheet1!BH111</f>
        <v>9228.384765625</v>
      </c>
      <c r="BI111" s="57">
        <f>+[2]Sheet1!BI111</f>
        <v>9086.90234375</v>
      </c>
      <c r="BJ111" s="57">
        <f>+[2]Sheet1!BJ111</f>
        <v>12825.96484375</v>
      </c>
      <c r="BK111" s="57">
        <f>+[2]Sheet1!BK111</f>
        <v>10220.689453125</v>
      </c>
      <c r="BL111" s="57">
        <f>+[2]Sheet1!BL111</f>
        <v>10426.4365234375</v>
      </c>
      <c r="BM111" s="57">
        <f>+[2]Sheet1!BM111</f>
        <v>10412.6552734375</v>
      </c>
      <c r="BN111" s="57">
        <f>+[2]Sheet1!BN111</f>
        <v>10444.8076171875</v>
      </c>
      <c r="BO111" s="57">
        <f>+[2]Sheet1!BO111</f>
        <v>10447.498046875</v>
      </c>
      <c r="BP111" s="57">
        <f>+[2]Sheet1!BP111</f>
        <v>10418.8623046875</v>
      </c>
      <c r="BQ111" s="57">
        <f>+[2]Sheet1!BQ111</f>
        <v>11226.9599609375</v>
      </c>
      <c r="BR111" s="57">
        <f>+[2]Sheet1!BR111</f>
        <v>7615.40576171875</v>
      </c>
      <c r="BS111" s="57">
        <f>+[2]Sheet1!BS111</f>
        <v>7797.986328125</v>
      </c>
      <c r="BT111" s="57">
        <f>+[2]Sheet1!BT111</f>
        <v>10961.2333984375</v>
      </c>
      <c r="BU111" s="57">
        <f>+[2]Sheet1!BU111</f>
        <v>8600.291015625</v>
      </c>
      <c r="BV111" s="57">
        <f>+[2]Sheet1!BV111</f>
        <v>11574.318359375</v>
      </c>
      <c r="BW111" s="57">
        <f>+[2]Sheet1!BW111</f>
        <v>10968.4052734375</v>
      </c>
      <c r="BX111" s="57">
        <f>+[2]Sheet1!BX111</f>
        <v>9571.04296875</v>
      </c>
      <c r="BY111" s="57">
        <f>+[2]Sheet1!BY111</f>
        <v>9186.9169921875</v>
      </c>
      <c r="BZ111" s="57">
        <f>+[2]Sheet1!BZ111</f>
        <v>9061.080078125</v>
      </c>
      <c r="CA111" s="57">
        <f>+[2]Sheet1!CA111</f>
        <v>12842.0927734375</v>
      </c>
      <c r="CB111" s="57">
        <f>+[2]Sheet1!CB111</f>
        <v>10179.7509765625</v>
      </c>
      <c r="CC111" s="57">
        <f>+[2]Sheet1!CC111</f>
        <v>10429.7880859375</v>
      </c>
      <c r="CD111" s="57">
        <f>+[2]Sheet1!CD111</f>
        <v>10429.7880859375</v>
      </c>
      <c r="CJ111" s="46"/>
      <c r="CK111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13"/>
  <sheetViews>
    <sheetView zoomScaleNormal="100" workbookViewId="0">
      <pane xSplit="3" ySplit="3" topLeftCell="BU101" activePane="bottomRight" state="frozen"/>
      <selection pane="topRight" activeCell="D1" sqref="D1"/>
      <selection pane="bottomLeft" activeCell="A4" sqref="A4"/>
      <selection pane="bottomRight" activeCell="A113" sqref="A113:XFD113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  <row r="110" spans="1:84" x14ac:dyDescent="0.25">
      <c r="A110" s="2">
        <f>+'Indice PondENGHO'!A108</f>
        <v>45931</v>
      </c>
      <c r="B110" s="1" t="str">
        <f>+'Indice PondENGHO'!B108</f>
        <v>Octubre</v>
      </c>
      <c r="C110" s="1">
        <f>+'Indice PondENGHO'!C108</f>
        <v>2025</v>
      </c>
      <c r="D110" s="10">
        <f>+'Indice PondENGHO'!D108/'Indice PondENGHO'!D107-1</f>
        <v>2.2763733484901794E-2</v>
      </c>
      <c r="E110" s="3">
        <f>+'Indice PondENGHO'!E108/'Indice PondENGHO'!E107-1</f>
        <v>2.4345817361592692E-2</v>
      </c>
      <c r="F110" s="3">
        <f>+'Indice PondENGHO'!F108/'Indice PondENGHO'!F107-1</f>
        <v>2.2412211335546495E-2</v>
      </c>
      <c r="G110" s="3">
        <f>+'Indice PondENGHO'!G108/'Indice PondENGHO'!G107-1</f>
        <v>2.8092437393659297E-2</v>
      </c>
      <c r="H110" s="3">
        <f>+'Indice PondENGHO'!H108/'Indice PondENGHO'!H107-1</f>
        <v>1.462196402989302E-2</v>
      </c>
      <c r="I110" s="3">
        <f>+'Indice PondENGHO'!I108/'Indice PondENGHO'!I107-1</f>
        <v>1.8848913311034776E-2</v>
      </c>
      <c r="J110" s="3">
        <f>+'Indice PondENGHO'!J108/'Indice PondENGHO'!J107-1</f>
        <v>3.3160316926887923E-2</v>
      </c>
      <c r="K110" s="3">
        <f>+'Indice PondENGHO'!K108/'Indice PondENGHO'!K107-1</f>
        <v>2.229698683765946E-2</v>
      </c>
      <c r="L110" s="3">
        <f>+'Indice PondENGHO'!L108/'Indice PondENGHO'!L107-1</f>
        <v>1.6780763935622334E-2</v>
      </c>
      <c r="M110" s="3">
        <f>+'Indice PondENGHO'!M108/'Indice PondENGHO'!M107-1</f>
        <v>1.611055200324385E-2</v>
      </c>
      <c r="N110" s="3">
        <f>+'Indice PondENGHO'!N108/'Indice PondENGHO'!N107-1</f>
        <v>2.1609745282017867E-2</v>
      </c>
      <c r="O110" s="11">
        <f>+'Indice PondENGHO'!O108/'Indice PondENGHO'!O107-1</f>
        <v>2.4397446755521912E-2</v>
      </c>
      <c r="P110" s="3">
        <f>+'Indice PondENGHO'!P108/'Indice PondENGHO'!P107-1</f>
        <v>2.286793808585208E-2</v>
      </c>
      <c r="Q110" s="3">
        <f>+'Indice PondENGHO'!Q108/'Indice PondENGHO'!Q107-1</f>
        <v>2.3816968584352782E-2</v>
      </c>
      <c r="R110" s="3">
        <f>+'Indice PondENGHO'!R108/'Indice PondENGHO'!R107-1</f>
        <v>2.2875608594031149E-2</v>
      </c>
      <c r="S110" s="3">
        <f>+'Indice PondENGHO'!S108/'Indice PondENGHO'!S107-1</f>
        <v>2.857845129940717E-2</v>
      </c>
      <c r="T110" s="3">
        <f>+'Indice PondENGHO'!T108/'Indice PondENGHO'!T107-1</f>
        <v>1.5532292429257355E-2</v>
      </c>
      <c r="U110" s="3">
        <f>+'Indice PondENGHO'!U108/'Indice PondENGHO'!U107-1</f>
        <v>1.8602708315003547E-2</v>
      </c>
      <c r="V110" s="3">
        <f>+'Indice PondENGHO'!V108/'Indice PondENGHO'!V107-1</f>
        <v>3.3591198512243681E-2</v>
      </c>
      <c r="W110" s="3">
        <f>+'Indice PondENGHO'!W108/'Indice PondENGHO'!W107-1</f>
        <v>2.2331551086303358E-2</v>
      </c>
      <c r="X110" s="3">
        <f>+'Indice PondENGHO'!X108/'Indice PondENGHO'!X107-1</f>
        <v>1.6282605552733198E-2</v>
      </c>
      <c r="Y110" s="3">
        <f>+'Indice PondENGHO'!Y108/'Indice PondENGHO'!Y107-1</f>
        <v>1.6451662711247428E-2</v>
      </c>
      <c r="Z110" s="3">
        <f>+'Indice PondENGHO'!Z108/'Indice PondENGHO'!Z107-1</f>
        <v>2.1544397105133672E-2</v>
      </c>
      <c r="AA110" s="3">
        <f>+'Indice PondENGHO'!AA108/'Indice PondENGHO'!AA107-1</f>
        <v>2.4393382302031474E-2</v>
      </c>
      <c r="AB110" s="10">
        <f>+'Indice PondENGHO'!AB108/'Indice PondENGHO'!AB107-1</f>
        <v>2.2828550484287558E-2</v>
      </c>
      <c r="AC110" s="3">
        <f>+'Indice PondENGHO'!AC108/'Indice PondENGHO'!AC107-1</f>
        <v>2.3897640637233319E-2</v>
      </c>
      <c r="AD110" s="3">
        <f>+'Indice PondENGHO'!AD108/'Indice PondENGHO'!AD107-1</f>
        <v>2.2731840093944466E-2</v>
      </c>
      <c r="AE110" s="3">
        <f>+'Indice PondENGHO'!AE108/'Indice PondENGHO'!AE107-1</f>
        <v>2.8823467337279363E-2</v>
      </c>
      <c r="AF110" s="3">
        <f>+'Indice PondENGHO'!AF108/'Indice PondENGHO'!AF107-1</f>
        <v>1.5935399998290967E-2</v>
      </c>
      <c r="AG110" s="3">
        <f>+'Indice PondENGHO'!AG108/'Indice PondENGHO'!AG107-1</f>
        <v>1.9014210184306046E-2</v>
      </c>
      <c r="AH110" s="3">
        <f>+'Indice PondENGHO'!AH108/'Indice PondENGHO'!AH107-1</f>
        <v>3.4212020877628868E-2</v>
      </c>
      <c r="AI110" s="3">
        <f>+'Indice PondENGHO'!AI108/'Indice PondENGHO'!AI107-1</f>
        <v>2.2225573293477519E-2</v>
      </c>
      <c r="AJ110" s="3">
        <f>+'Indice PondENGHO'!AJ108/'Indice PondENGHO'!AJ107-1</f>
        <v>1.6151678376349121E-2</v>
      </c>
      <c r="AK110" s="3">
        <f>+'Indice PondENGHO'!AK108/'Indice PondENGHO'!AK107-1</f>
        <v>1.6644153540163131E-2</v>
      </c>
      <c r="AL110" s="3">
        <f>+'Indice PondENGHO'!AL108/'Indice PondENGHO'!AL107-1</f>
        <v>2.2254354009617172E-2</v>
      </c>
      <c r="AM110" s="11">
        <f>+'Indice PondENGHO'!AM108/'Indice PondENGHO'!AM107-1</f>
        <v>2.437080883407039E-2</v>
      </c>
      <c r="AN110" s="3">
        <f>+'Indice PondENGHO'!AN108/'Indice PondENGHO'!AN107-1</f>
        <v>2.2717120922080225E-2</v>
      </c>
      <c r="AO110" s="3">
        <f>+'Indice PondENGHO'!AO108/'Indice PondENGHO'!AO107-1</f>
        <v>2.3741657252631221E-2</v>
      </c>
      <c r="AP110" s="3">
        <f>+'Indice PondENGHO'!AP108/'Indice PondENGHO'!AP107-1</f>
        <v>2.344532793151477E-2</v>
      </c>
      <c r="AQ110" s="3">
        <f>+'Indice PondENGHO'!AQ108/'Indice PondENGHO'!AQ107-1</f>
        <v>2.9147587402185593E-2</v>
      </c>
      <c r="AR110" s="3">
        <f>+'Indice PondENGHO'!AR108/'Indice PondENGHO'!AR107-1</f>
        <v>1.6120673290743737E-2</v>
      </c>
      <c r="AS110" s="3">
        <f>+'Indice PondENGHO'!AS108/'Indice PondENGHO'!AS107-1</f>
        <v>1.812394968166342E-2</v>
      </c>
      <c r="AT110" s="3">
        <f>+'Indice PondENGHO'!AT108/'Indice PondENGHO'!AT107-1</f>
        <v>3.4552291463983309E-2</v>
      </c>
      <c r="AU110" s="3">
        <f>+'Indice PondENGHO'!AU108/'Indice PondENGHO'!AU107-1</f>
        <v>2.2148544343724375E-2</v>
      </c>
      <c r="AV110" s="3">
        <f>+'Indice PondENGHO'!AV108/'Indice PondENGHO'!AV107-1</f>
        <v>1.5834117027452521E-2</v>
      </c>
      <c r="AW110" s="3">
        <f>+'Indice PondENGHO'!AW108/'Indice PondENGHO'!AW107-1</f>
        <v>1.683461391546448E-2</v>
      </c>
      <c r="AX110" s="3">
        <f>+'Indice PondENGHO'!AX108/'Indice PondENGHO'!AX107-1</f>
        <v>2.2224278094015393E-2</v>
      </c>
      <c r="AY110" s="3">
        <f>+'Indice PondENGHO'!AY108/'Indice PondENGHO'!AY107-1</f>
        <v>2.4431473973995477E-2</v>
      </c>
      <c r="AZ110" s="10">
        <f>+'Indice PondENGHO'!AZ108/'Indice PondENGHO'!AZ107-1</f>
        <v>2.2704738882142861E-2</v>
      </c>
      <c r="BA110" s="3">
        <f>+'Indice PondENGHO'!BA108/'Indice PondENGHO'!BA107-1</f>
        <v>2.3473714361232467E-2</v>
      </c>
      <c r="BB110" s="3">
        <f>+'Indice PondENGHO'!BB108/'Indice PondENGHO'!BB107-1</f>
        <v>2.4010619604983852E-2</v>
      </c>
      <c r="BC110" s="3">
        <f>+'Indice PondENGHO'!BC108/'Indice PondENGHO'!BC107-1</f>
        <v>2.8808748413676311E-2</v>
      </c>
      <c r="BD110" s="3">
        <f>+'Indice PondENGHO'!BD108/'Indice PondENGHO'!BD107-1</f>
        <v>1.7191860211098975E-2</v>
      </c>
      <c r="BE110" s="3">
        <f>+'Indice PondENGHO'!BE108/'Indice PondENGHO'!BE107-1</f>
        <v>1.7553084505544048E-2</v>
      </c>
      <c r="BF110" s="3">
        <f>+'Indice PondENGHO'!BF108/'Indice PondENGHO'!BF107-1</f>
        <v>3.4867474465212878E-2</v>
      </c>
      <c r="BG110" s="3">
        <f>+'Indice PondENGHO'!BG108/'Indice PondENGHO'!BG107-1</f>
        <v>2.2065831976882055E-2</v>
      </c>
      <c r="BH110" s="3">
        <f>+'Indice PondENGHO'!BH108/'Indice PondENGHO'!BH107-1</f>
        <v>1.5559206602929976E-2</v>
      </c>
      <c r="BI110" s="3">
        <f>+'Indice PondENGHO'!BI108/'Indice PondENGHO'!BI107-1</f>
        <v>1.6647923786533125E-2</v>
      </c>
      <c r="BJ110" s="3">
        <f>+'Indice PondENGHO'!BJ108/'Indice PondENGHO'!BJ107-1</f>
        <v>2.3335286370391728E-2</v>
      </c>
      <c r="BK110" s="11">
        <f>+'Indice PondENGHO'!BK108/'Indice PondENGHO'!BK107-1</f>
        <v>2.4438126076988365E-2</v>
      </c>
      <c r="BL110" s="65">
        <f>+'Indice PondENGHO'!BL108/'Indice PondENGHO'!BL107-1</f>
        <v>2.312266576693256E-2</v>
      </c>
      <c r="BM110" s="65">
        <f>+'Indice PondENGHO'!BM108/'Indice PondENGHO'!BM107-1</f>
        <v>2.34032582024577E-2</v>
      </c>
      <c r="BN110" s="65">
        <f>+'Indice PondENGHO'!BN108/'Indice PondENGHO'!BN107-1</f>
        <v>2.3415086838504795E-2</v>
      </c>
      <c r="BO110" s="65">
        <f>+'Indice PondENGHO'!BO108/'Indice PondENGHO'!BO107-1</f>
        <v>2.3532995768112963E-2</v>
      </c>
      <c r="BP110" s="65">
        <f>+'Indice PondENGHO'!BP108/'Indice PondENGHO'!BP107-1</f>
        <v>2.3412916233022996E-2</v>
      </c>
      <c r="BQ110" s="10">
        <f>+'Indice PondENGHO'!BQ108/'Indice PondENGHO'!BQ107-1</f>
        <v>2.2772821116955333E-2</v>
      </c>
      <c r="BR110" s="3">
        <f>+'Indice PondENGHO'!BR108/'Indice PondENGHO'!BR107-1</f>
        <v>2.3780961284089353E-2</v>
      </c>
      <c r="BS110" s="3">
        <f>+'Indice PondENGHO'!BS108/'Indice PondENGHO'!BS107-1</f>
        <v>2.3241424613922534E-2</v>
      </c>
      <c r="BT110" s="3">
        <f>+'Indice PondENGHO'!BT108/'Indice PondENGHO'!BT107-1</f>
        <v>2.8761445331236368E-2</v>
      </c>
      <c r="BU110" s="3">
        <f>+'Indice PondENGHO'!BU108/'Indice PondENGHO'!BU107-1</f>
        <v>1.6331693697058336E-2</v>
      </c>
      <c r="BV110" s="3">
        <f>+'Indice PondENGHO'!BV108/'Indice PondENGHO'!BV107-1</f>
        <v>1.8156337022708469E-2</v>
      </c>
      <c r="BW110" s="3">
        <f>+'Indice PondENGHO'!BW108/'Indice PondENGHO'!BW107-1</f>
        <v>3.4350789710171803E-2</v>
      </c>
      <c r="BX110" s="3">
        <f>+'Indice PondENGHO'!BX108/'Indice PondENGHO'!BX107-1</f>
        <v>2.218751526103846E-2</v>
      </c>
      <c r="BY110" s="3">
        <f>+'Indice PondENGHO'!BY108/'Indice PondENGHO'!BY107-1</f>
        <v>1.5945436034127125E-2</v>
      </c>
      <c r="BZ110" s="3">
        <f>+'Indice PondENGHO'!BZ108/'Indice PondENGHO'!BZ107-1</f>
        <v>1.6631908131504725E-2</v>
      </c>
      <c r="CA110" s="3">
        <f>+'Indice PondENGHO'!CA108/'Indice PondENGHO'!CA107-1</f>
        <v>2.2545417144808955E-2</v>
      </c>
      <c r="CB110" s="11">
        <f>+'Indice PondENGHO'!CB108/'Indice PondENGHO'!CB107-1</f>
        <v>2.4415233850648477E-2</v>
      </c>
      <c r="CC110" s="55">
        <f>+'Indice PondENGHO'!CC108/'Indice PondENGHO'!CC107-1</f>
        <v>2.3403311562351758E-2</v>
      </c>
      <c r="CD110" s="56">
        <f>+'Indice PondENGHO'!CD108/'Indice PondENGHO'!CD107-1</f>
        <v>2.3403205226780521E-2</v>
      </c>
      <c r="CF110" s="3">
        <f t="shared" ref="CF110" si="28">+BL110-BP110</f>
        <v>-2.9025046609043592E-4</v>
      </c>
    </row>
    <row r="111" spans="1:84" x14ac:dyDescent="0.25">
      <c r="A111" s="2">
        <f>+'Indice PondENGHO'!A109</f>
        <v>45962</v>
      </c>
      <c r="B111" s="1" t="str">
        <f>+'Indice PondENGHO'!B109</f>
        <v>Noviembre</v>
      </c>
      <c r="C111" s="1">
        <f>+'Indice PondENGHO'!C109</f>
        <v>2025</v>
      </c>
      <c r="D111" s="10">
        <f>+'Indice PondENGHO'!D109/'Indice PondENGHO'!D108-1</f>
        <v>2.9210238104580011E-2</v>
      </c>
      <c r="E111" s="3">
        <f>+'Indice PondENGHO'!E109/'Indice PondENGHO'!E108-1</f>
        <v>1.1482705600364573E-2</v>
      </c>
      <c r="F111" s="3">
        <f>+'Indice PondENGHO'!F109/'Indice PondENGHO'!F108-1</f>
        <v>5.9551932403849595E-3</v>
      </c>
      <c r="G111" s="3">
        <f>+'Indice PondENGHO'!G109/'Indice PondENGHO'!G108-1</f>
        <v>3.3520301757945514E-2</v>
      </c>
      <c r="H111" s="3">
        <f>+'Indice PondENGHO'!H109/'Indice PondENGHO'!H108-1</f>
        <v>1.1458363931680537E-2</v>
      </c>
      <c r="I111" s="3">
        <f>+'Indice PondENGHO'!I109/'Indice PondENGHO'!I108-1</f>
        <v>2.3692700590014715E-2</v>
      </c>
      <c r="J111" s="3">
        <f>+'Indice PondENGHO'!J109/'Indice PondENGHO'!J108-1</f>
        <v>3.060947681913917E-2</v>
      </c>
      <c r="K111" s="3">
        <f>+'Indice PondENGHO'!K109/'Indice PondENGHO'!K108-1</f>
        <v>2.6640143414618178E-2</v>
      </c>
      <c r="L111" s="3">
        <f>+'Indice PondENGHO'!L109/'Indice PondENGHO'!L108-1</f>
        <v>2.2591047099102202E-2</v>
      </c>
      <c r="M111" s="3">
        <f>+'Indice PondENGHO'!M109/'Indice PondENGHO'!M108-1</f>
        <v>2.1536183266761322E-2</v>
      </c>
      <c r="N111" s="3">
        <f>+'Indice PondENGHO'!N109/'Indice PondENGHO'!N108-1</f>
        <v>2.1858484640393083E-2</v>
      </c>
      <c r="O111" s="11">
        <f>+'Indice PondENGHO'!O109/'Indice PondENGHO'!O108-1</f>
        <v>2.4424281013434523E-2</v>
      </c>
      <c r="P111" s="3">
        <f>+'Indice PondENGHO'!P109/'Indice PondENGHO'!P108-1</f>
        <v>2.8781681928660374E-2</v>
      </c>
      <c r="Q111" s="3">
        <f>+'Indice PondENGHO'!Q109/'Indice PondENGHO'!Q108-1</f>
        <v>1.164329069189729E-2</v>
      </c>
      <c r="R111" s="3">
        <f>+'Indice PondENGHO'!R109/'Indice PondENGHO'!R108-1</f>
        <v>5.7138721555678451E-3</v>
      </c>
      <c r="S111" s="3">
        <f>+'Indice PondENGHO'!S109/'Indice PondENGHO'!S108-1</f>
        <v>3.445534573184128E-2</v>
      </c>
      <c r="T111" s="3">
        <f>+'Indice PondENGHO'!T109/'Indice PondENGHO'!T108-1</f>
        <v>1.13718534611007E-2</v>
      </c>
      <c r="U111" s="3">
        <f>+'Indice PondENGHO'!U109/'Indice PondENGHO'!U108-1</f>
        <v>2.3795478772389522E-2</v>
      </c>
      <c r="V111" s="3">
        <f>+'Indice PondENGHO'!V109/'Indice PondENGHO'!V108-1</f>
        <v>3.0850506720274229E-2</v>
      </c>
      <c r="W111" s="3">
        <f>+'Indice PondENGHO'!W109/'Indice PondENGHO'!W108-1</f>
        <v>2.6685652072168331E-2</v>
      </c>
      <c r="X111" s="3">
        <f>+'Indice PondENGHO'!X109/'Indice PondENGHO'!X108-1</f>
        <v>2.3597276705392023E-2</v>
      </c>
      <c r="Y111" s="3">
        <f>+'Indice PondENGHO'!Y109/'Indice PondENGHO'!Y108-1</f>
        <v>2.3939946662214107E-2</v>
      </c>
      <c r="Z111" s="3">
        <f>+'Indice PondENGHO'!Z109/'Indice PondENGHO'!Z108-1</f>
        <v>2.2831082206602682E-2</v>
      </c>
      <c r="AA111" s="3">
        <f>+'Indice PondENGHO'!AA109/'Indice PondENGHO'!AA108-1</f>
        <v>2.4979713101031864E-2</v>
      </c>
      <c r="AB111" s="10">
        <f>+'Indice PondENGHO'!AB109/'Indice PondENGHO'!AB108-1</f>
        <v>2.8349876959872677E-2</v>
      </c>
      <c r="AC111" s="3">
        <f>+'Indice PondENGHO'!AC109/'Indice PondENGHO'!AC108-1</f>
        <v>1.1651090933988195E-2</v>
      </c>
      <c r="AD111" s="3">
        <f>+'Indice PondENGHO'!AD109/'Indice PondENGHO'!AD108-1</f>
        <v>5.8057028756024476E-3</v>
      </c>
      <c r="AE111" s="3">
        <f>+'Indice PondENGHO'!AE109/'Indice PondENGHO'!AE108-1</f>
        <v>3.4771493604339287E-2</v>
      </c>
      <c r="AF111" s="3">
        <f>+'Indice PondENGHO'!AF109/'Indice PondENGHO'!AF108-1</f>
        <v>1.1243917841360584E-2</v>
      </c>
      <c r="AG111" s="3">
        <f>+'Indice PondENGHO'!AG109/'Indice PondENGHO'!AG108-1</f>
        <v>2.3802673873715818E-2</v>
      </c>
      <c r="AH111" s="3">
        <f>+'Indice PondENGHO'!AH109/'Indice PondENGHO'!AH108-1</f>
        <v>3.0805174551882475E-2</v>
      </c>
      <c r="AI111" s="3">
        <f>+'Indice PondENGHO'!AI109/'Indice PondENGHO'!AI108-1</f>
        <v>2.6754642611063861E-2</v>
      </c>
      <c r="AJ111" s="3">
        <f>+'Indice PondENGHO'!AJ109/'Indice PondENGHO'!AJ108-1</f>
        <v>2.4163585580062596E-2</v>
      </c>
      <c r="AK111" s="3">
        <f>+'Indice PondENGHO'!AK109/'Indice PondENGHO'!AK108-1</f>
        <v>2.4454208477914019E-2</v>
      </c>
      <c r="AL111" s="3">
        <f>+'Indice PondENGHO'!AL109/'Indice PondENGHO'!AL108-1</f>
        <v>2.4006231384462229E-2</v>
      </c>
      <c r="AM111" s="11">
        <f>+'Indice PondENGHO'!AM109/'Indice PondENGHO'!AM108-1</f>
        <v>2.5194329590226827E-2</v>
      </c>
      <c r="AN111" s="3">
        <f>+'Indice PondENGHO'!AN109/'Indice PondENGHO'!AN108-1</f>
        <v>2.7990139969479966E-2</v>
      </c>
      <c r="AO111" s="3">
        <f>+'Indice PondENGHO'!AO109/'Indice PondENGHO'!AO108-1</f>
        <v>1.1724501550347322E-2</v>
      </c>
      <c r="AP111" s="3">
        <f>+'Indice PondENGHO'!AP109/'Indice PondENGHO'!AP108-1</f>
        <v>5.1992677685779309E-3</v>
      </c>
      <c r="AQ111" s="3">
        <f>+'Indice PondENGHO'!AQ109/'Indice PondENGHO'!AQ108-1</f>
        <v>3.5125703637682415E-2</v>
      </c>
      <c r="AR111" s="3">
        <f>+'Indice PondENGHO'!AR109/'Indice PondENGHO'!AR108-1</f>
        <v>1.1309535089127465E-2</v>
      </c>
      <c r="AS111" s="3">
        <f>+'Indice PondENGHO'!AS109/'Indice PondENGHO'!AS108-1</f>
        <v>2.4036194363028507E-2</v>
      </c>
      <c r="AT111" s="3">
        <f>+'Indice PondENGHO'!AT109/'Indice PondENGHO'!AT108-1</f>
        <v>3.0741254183365818E-2</v>
      </c>
      <c r="AU111" s="3">
        <f>+'Indice PondENGHO'!AU109/'Indice PondENGHO'!AU108-1</f>
        <v>2.6898436874900566E-2</v>
      </c>
      <c r="AV111" s="3">
        <f>+'Indice PondENGHO'!AV109/'Indice PondENGHO'!AV108-1</f>
        <v>2.4557216508047652E-2</v>
      </c>
      <c r="AW111" s="3">
        <f>+'Indice PondENGHO'!AW109/'Indice PondENGHO'!AW108-1</f>
        <v>2.4382014729085189E-2</v>
      </c>
      <c r="AX111" s="3">
        <f>+'Indice PondENGHO'!AX109/'Indice PondENGHO'!AX108-1</f>
        <v>2.4504948466059995E-2</v>
      </c>
      <c r="AY111" s="3">
        <f>+'Indice PondENGHO'!AY109/'Indice PondENGHO'!AY108-1</f>
        <v>2.5171562286772531E-2</v>
      </c>
      <c r="AZ111" s="10">
        <f>+'Indice PondENGHO'!AZ109/'Indice PondENGHO'!AZ108-1</f>
        <v>2.7592982377948605E-2</v>
      </c>
      <c r="BA111" s="3">
        <f>+'Indice PondENGHO'!BA109/'Indice PondENGHO'!BA108-1</f>
        <v>1.182654588465315E-2</v>
      </c>
      <c r="BB111" s="3">
        <f>+'Indice PondENGHO'!BB109/'Indice PondENGHO'!BB108-1</f>
        <v>4.7656943267024854E-3</v>
      </c>
      <c r="BC111" s="3">
        <f>+'Indice PondENGHO'!BC109/'Indice PondENGHO'!BC108-1</f>
        <v>3.5344579727738523E-2</v>
      </c>
      <c r="BD111" s="3">
        <f>+'Indice PondENGHO'!BD109/'Indice PondENGHO'!BD108-1</f>
        <v>1.1438468023903914E-2</v>
      </c>
      <c r="BE111" s="3">
        <f>+'Indice PondENGHO'!BE109/'Indice PondENGHO'!BE108-1</f>
        <v>2.4227550978485723E-2</v>
      </c>
      <c r="BF111" s="3">
        <f>+'Indice PondENGHO'!BF109/'Indice PondENGHO'!BF108-1</f>
        <v>3.026263517556349E-2</v>
      </c>
      <c r="BG111" s="3">
        <f>+'Indice PondENGHO'!BG109/'Indice PondENGHO'!BG108-1</f>
        <v>2.7113477535345654E-2</v>
      </c>
      <c r="BH111" s="3">
        <f>+'Indice PondENGHO'!BH109/'Indice PondENGHO'!BH108-1</f>
        <v>2.5176648660895751E-2</v>
      </c>
      <c r="BI111" s="3">
        <f>+'Indice PondENGHO'!BI109/'Indice PondENGHO'!BI108-1</f>
        <v>2.6557001773095834E-2</v>
      </c>
      <c r="BJ111" s="3">
        <f>+'Indice PondENGHO'!BJ109/'Indice PondENGHO'!BJ108-1</f>
        <v>2.5363743263427052E-2</v>
      </c>
      <c r="BK111" s="11">
        <f>+'Indice PondENGHO'!BK109/'Indice PondENGHO'!BK108-1</f>
        <v>2.5309381047430746E-2</v>
      </c>
      <c r="BL111" s="65">
        <f>+'Indice PondENGHO'!BL109/'Indice PondENGHO'!BL108-1</f>
        <v>2.4974389921325058E-2</v>
      </c>
      <c r="BM111" s="65">
        <f>+'Indice PondENGHO'!BM109/'Indice PondENGHO'!BM108-1</f>
        <v>2.489415958118002E-2</v>
      </c>
      <c r="BN111" s="65">
        <f>+'Indice PondENGHO'!BN109/'Indice PondENGHO'!BN108-1</f>
        <v>2.4852827280616552E-2</v>
      </c>
      <c r="BO111" s="65">
        <f>+'Indice PondENGHO'!BO109/'Indice PondENGHO'!BO108-1</f>
        <v>2.4748870872465689E-2</v>
      </c>
      <c r="BP111" s="65">
        <f>+'Indice PondENGHO'!BP109/'Indice PondENGHO'!BP108-1</f>
        <v>2.4563295754381542E-2</v>
      </c>
      <c r="BQ111" s="10">
        <f>+'Indice PondENGHO'!BQ109/'Indice PondENGHO'!BQ108-1</f>
        <v>2.8337028409452403E-2</v>
      </c>
      <c r="BR111" s="3">
        <f>+'Indice PondENGHO'!BR109/'Indice PondENGHO'!BR108-1</f>
        <v>1.1695734984152883E-2</v>
      </c>
      <c r="BS111" s="3">
        <f>+'Indice PondENGHO'!BS109/'Indice PondENGHO'!BS108-1</f>
        <v>5.3741358273142747E-3</v>
      </c>
      <c r="BT111" s="3">
        <f>+'Indice PondENGHO'!BT109/'Indice PondENGHO'!BT108-1</f>
        <v>3.4833148600408759E-2</v>
      </c>
      <c r="BU111" s="3">
        <f>+'Indice PondENGHO'!BU109/'Indice PondENGHO'!BU108-1</f>
        <v>1.1374420696846688E-2</v>
      </c>
      <c r="BV111" s="3">
        <f>+'Indice PondENGHO'!BV109/'Indice PondENGHO'!BV108-1</f>
        <v>2.4019103402610709E-2</v>
      </c>
      <c r="BW111" s="3">
        <f>+'Indice PondENGHO'!BW109/'Indice PondENGHO'!BW108-1</f>
        <v>3.0585282354424814E-2</v>
      </c>
      <c r="BX111" s="3">
        <f>+'Indice PondENGHO'!BX109/'Indice PondENGHO'!BX108-1</f>
        <v>2.6866881842467105E-2</v>
      </c>
      <c r="BY111" s="3">
        <f>+'Indice PondENGHO'!BY109/'Indice PondENGHO'!BY108-1</f>
        <v>2.4383232808750765E-2</v>
      </c>
      <c r="BZ111" s="3">
        <f>+'Indice PondENGHO'!BZ109/'Indice PondENGHO'!BZ108-1</f>
        <v>2.5027290482422693E-2</v>
      </c>
      <c r="CA111" s="3">
        <f>+'Indice PondENGHO'!CA109/'Indice PondENGHO'!CA108-1</f>
        <v>2.4353644871137226E-2</v>
      </c>
      <c r="CB111" s="11">
        <f>+'Indice PondENGHO'!CB109/'Indice PondENGHO'!CB108-1</f>
        <v>2.5126665875221166E-2</v>
      </c>
      <c r="CC111" s="55">
        <f>+'Indice PondENGHO'!CC109/'Indice PondENGHO'!CC108-1</f>
        <v>2.475714803941198E-2</v>
      </c>
      <c r="CD111" s="56">
        <f>+'Indice PondENGHO'!CD109/'Indice PondENGHO'!CD108-1</f>
        <v>2.475714803941198E-2</v>
      </c>
      <c r="CF111" s="3">
        <f t="shared" ref="CF111" si="29">+BL111-BP111</f>
        <v>4.110941669435153E-4</v>
      </c>
    </row>
    <row r="112" spans="1:84" x14ac:dyDescent="0.25">
      <c r="A112" s="2">
        <f>+'Indice PondENGHO'!A110</f>
        <v>45992</v>
      </c>
      <c r="B112" s="1" t="str">
        <f>+'Indice PondENGHO'!B110</f>
        <v>Diciembre</v>
      </c>
      <c r="C112" s="1">
        <f>+'Indice PondENGHO'!C110</f>
        <v>2025</v>
      </c>
      <c r="D112" s="10">
        <f>+'Indice PondENGHO'!D110/'Indice PondENGHO'!D109-1</f>
        <v>3.3633419611922344E-2</v>
      </c>
      <c r="E112" s="3">
        <f>+'Indice PondENGHO'!E110/'Indice PondENGHO'!E109-1</f>
        <v>2.7530580149955686E-2</v>
      </c>
      <c r="F112" s="3">
        <f>+'Indice PondENGHO'!F110/'Indice PondENGHO'!F109-1</f>
        <v>1.0225319788166765E-2</v>
      </c>
      <c r="G112" s="3">
        <f>+'Indice PondENGHO'!G110/'Indice PondENGHO'!G109-1</f>
        <v>3.2946685081129967E-2</v>
      </c>
      <c r="H112" s="3">
        <f>+'Indice PondENGHO'!H110/'Indice PondENGHO'!H109-1</f>
        <v>1.9194091421193438E-2</v>
      </c>
      <c r="I112" s="3">
        <f>+'Indice PondENGHO'!I110/'Indice PondENGHO'!I109-1</f>
        <v>2.0115915666870876E-2</v>
      </c>
      <c r="J112" s="3">
        <f>+'Indice PondENGHO'!J110/'Indice PondENGHO'!J109-1</f>
        <v>4.0195810066489202E-2</v>
      </c>
      <c r="K112" s="3">
        <f>+'Indice PondENGHO'!K110/'Indice PondENGHO'!K109-1</f>
        <v>3.1865813912260954E-2</v>
      </c>
      <c r="L112" s="3">
        <f>+'Indice PondENGHO'!L110/'Indice PondENGHO'!L109-1</f>
        <v>2.4500416911233946E-2</v>
      </c>
      <c r="M112" s="3">
        <f>+'Indice PondENGHO'!M110/'Indice PondENGHO'!M109-1</f>
        <v>2.595170299821703E-3</v>
      </c>
      <c r="N112" s="3">
        <f>+'Indice PondENGHO'!N110/'Indice PondENGHO'!N109-1</f>
        <v>3.0903096002007802E-2</v>
      </c>
      <c r="O112" s="11">
        <f>+'Indice PondENGHO'!O110/'Indice PondENGHO'!O109-1</f>
        <v>2.5225542266056333E-2</v>
      </c>
      <c r="P112" s="3">
        <f>+'Indice PondENGHO'!P110/'Indice PondENGHO'!P109-1</f>
        <v>3.2404344607663838E-2</v>
      </c>
      <c r="Q112" s="3">
        <f>+'Indice PondENGHO'!Q110/'Indice PondENGHO'!Q109-1</f>
        <v>2.8156760332399777E-2</v>
      </c>
      <c r="R112" s="3">
        <f>+'Indice PondENGHO'!R110/'Indice PondENGHO'!R109-1</f>
        <v>1.0545581319811204E-2</v>
      </c>
      <c r="S112" s="3">
        <f>+'Indice PondENGHO'!S110/'Indice PondENGHO'!S109-1</f>
        <v>3.3313608908519088E-2</v>
      </c>
      <c r="T112" s="3">
        <f>+'Indice PondENGHO'!T110/'Indice PondENGHO'!T109-1</f>
        <v>1.9785385886516238E-2</v>
      </c>
      <c r="U112" s="3">
        <f>+'Indice PondENGHO'!U110/'Indice PondENGHO'!U109-1</f>
        <v>2.050817179862463E-2</v>
      </c>
      <c r="V112" s="3">
        <f>+'Indice PondENGHO'!V110/'Indice PondENGHO'!V109-1</f>
        <v>4.0176620064034774E-2</v>
      </c>
      <c r="W112" s="3">
        <f>+'Indice PondENGHO'!W110/'Indice PondENGHO'!W109-1</f>
        <v>3.254615673672534E-2</v>
      </c>
      <c r="X112" s="3">
        <f>+'Indice PondENGHO'!X110/'Indice PondENGHO'!X109-1</f>
        <v>2.4887310827083065E-2</v>
      </c>
      <c r="Y112" s="3">
        <f>+'Indice PondENGHO'!Y110/'Indice PondENGHO'!Y109-1</f>
        <v>1.9241350984391392E-3</v>
      </c>
      <c r="Z112" s="3">
        <f>+'Indice PondENGHO'!Z110/'Indice PondENGHO'!Z109-1</f>
        <v>3.1546302645096835E-2</v>
      </c>
      <c r="AA112" s="3">
        <f>+'Indice PondENGHO'!AA110/'Indice PondENGHO'!AA109-1</f>
        <v>2.6027172824132361E-2</v>
      </c>
      <c r="AB112" s="10">
        <f>+'Indice PondENGHO'!AB110/'Indice PondENGHO'!AB109-1</f>
        <v>3.1738272134456125E-2</v>
      </c>
      <c r="AC112" s="3">
        <f>+'Indice PondENGHO'!AC110/'Indice PondENGHO'!AC109-1</f>
        <v>2.7853542196537351E-2</v>
      </c>
      <c r="AD112" s="3">
        <f>+'Indice PondENGHO'!AD110/'Indice PondENGHO'!AD109-1</f>
        <v>1.0592287378331955E-2</v>
      </c>
      <c r="AE112" s="3">
        <f>+'Indice PondENGHO'!AE110/'Indice PondENGHO'!AE109-1</f>
        <v>3.3674384272477154E-2</v>
      </c>
      <c r="AF112" s="3">
        <f>+'Indice PondENGHO'!AF110/'Indice PondENGHO'!AF109-1</f>
        <v>1.982047987654445E-2</v>
      </c>
      <c r="AG112" s="3">
        <f>+'Indice PondENGHO'!AG110/'Indice PondENGHO'!AG109-1</f>
        <v>2.0465222362813451E-2</v>
      </c>
      <c r="AH112" s="3">
        <f>+'Indice PondENGHO'!AH110/'Indice PondENGHO'!AH109-1</f>
        <v>3.9870392272120858E-2</v>
      </c>
      <c r="AI112" s="3">
        <f>+'Indice PondENGHO'!AI110/'Indice PondENGHO'!AI109-1</f>
        <v>3.292196860744534E-2</v>
      </c>
      <c r="AJ112" s="3">
        <f>+'Indice PondENGHO'!AJ110/'Indice PondENGHO'!AJ109-1</f>
        <v>2.5135311471313981E-2</v>
      </c>
      <c r="AK112" s="3">
        <f>+'Indice PondENGHO'!AK110/'Indice PondENGHO'!AK109-1</f>
        <v>2.1263972456024849E-3</v>
      </c>
      <c r="AL112" s="3">
        <f>+'Indice PondENGHO'!AL110/'Indice PondENGHO'!AL109-1</f>
        <v>3.1602763729238204E-2</v>
      </c>
      <c r="AM112" s="11">
        <f>+'Indice PondENGHO'!AM110/'Indice PondENGHO'!AM109-1</f>
        <v>2.6227890959690026E-2</v>
      </c>
      <c r="AN112" s="3">
        <f>+'Indice PondENGHO'!AN110/'Indice PondENGHO'!AN109-1</f>
        <v>3.1269164619786016E-2</v>
      </c>
      <c r="AO112" s="3">
        <f>+'Indice PondENGHO'!AO110/'Indice PondENGHO'!AO109-1</f>
        <v>2.7921542525442877E-2</v>
      </c>
      <c r="AP112" s="3">
        <f>+'Indice PondENGHO'!AP110/'Indice PondENGHO'!AP109-1</f>
        <v>1.0740004295171746E-2</v>
      </c>
      <c r="AQ112" s="3">
        <f>+'Indice PondENGHO'!AQ110/'Indice PondENGHO'!AQ109-1</f>
        <v>3.3840415657817369E-2</v>
      </c>
      <c r="AR112" s="3">
        <f>+'Indice PondENGHO'!AR110/'Indice PondENGHO'!AR109-1</f>
        <v>1.9768516057897756E-2</v>
      </c>
      <c r="AS112" s="3">
        <f>+'Indice PondENGHO'!AS110/'Indice PondENGHO'!AS109-1</f>
        <v>2.1164998575702532E-2</v>
      </c>
      <c r="AT112" s="3">
        <f>+'Indice PondENGHO'!AT110/'Indice PondENGHO'!AT109-1</f>
        <v>4.0096535692255353E-2</v>
      </c>
      <c r="AU112" s="3">
        <f>+'Indice PondENGHO'!AU110/'Indice PondENGHO'!AU109-1</f>
        <v>3.2982371741908656E-2</v>
      </c>
      <c r="AV112" s="3">
        <f>+'Indice PondENGHO'!AV110/'Indice PondENGHO'!AV109-1</f>
        <v>2.5459391002698117E-2</v>
      </c>
      <c r="AW112" s="3">
        <f>+'Indice PondENGHO'!AW110/'Indice PondENGHO'!AW109-1</f>
        <v>2.4040624658732135E-3</v>
      </c>
      <c r="AX112" s="3">
        <f>+'Indice PondENGHO'!AX110/'Indice PondENGHO'!AX109-1</f>
        <v>3.14129474496605E-2</v>
      </c>
      <c r="AY112" s="3">
        <f>+'Indice PondENGHO'!AY110/'Indice PondENGHO'!AY109-1</f>
        <v>2.673135159107054E-2</v>
      </c>
      <c r="AZ112" s="10">
        <f>+'Indice PondENGHO'!AZ110/'Indice PondENGHO'!AZ109-1</f>
        <v>3.0302036067024307E-2</v>
      </c>
      <c r="BA112" s="3">
        <f>+'Indice PondENGHO'!BA110/'Indice PondENGHO'!BA109-1</f>
        <v>2.8313485935932414E-2</v>
      </c>
      <c r="BB112" s="3">
        <f>+'Indice PondENGHO'!BB110/'Indice PondENGHO'!BB109-1</f>
        <v>1.087292660688699E-2</v>
      </c>
      <c r="BC112" s="3">
        <f>+'Indice PondENGHO'!BC110/'Indice PondENGHO'!BC109-1</f>
        <v>3.4431501046053858E-2</v>
      </c>
      <c r="BD112" s="3">
        <f>+'Indice PondENGHO'!BD110/'Indice PondENGHO'!BD109-1</f>
        <v>2.0084679507403891E-2</v>
      </c>
      <c r="BE112" s="3">
        <f>+'Indice PondENGHO'!BE110/'Indice PondENGHO'!BE109-1</f>
        <v>2.1764372085510741E-2</v>
      </c>
      <c r="BF112" s="3">
        <f>+'Indice PondENGHO'!BF110/'Indice PondENGHO'!BF109-1</f>
        <v>4.0358213333123727E-2</v>
      </c>
      <c r="BG112" s="3">
        <f>+'Indice PondENGHO'!BG110/'Indice PondENGHO'!BG109-1</f>
        <v>3.3508257477498971E-2</v>
      </c>
      <c r="BH112" s="3">
        <f>+'Indice PondENGHO'!BH110/'Indice PondENGHO'!BH109-1</f>
        <v>2.5691119192510881E-2</v>
      </c>
      <c r="BI112" s="3">
        <f>+'Indice PondENGHO'!BI110/'Indice PondENGHO'!BI109-1</f>
        <v>5.8032276247055314E-4</v>
      </c>
      <c r="BJ112" s="3">
        <f>+'Indice PondENGHO'!BJ110/'Indice PondENGHO'!BJ109-1</f>
        <v>3.0705348483265116E-2</v>
      </c>
      <c r="BK112" s="11">
        <f>+'Indice PondENGHO'!BK110/'Indice PondENGHO'!BK109-1</f>
        <v>2.8055693398562287E-2</v>
      </c>
      <c r="BL112" s="65">
        <f>+'Indice PondENGHO'!BL110/'Indice PondENGHO'!BL109-1</f>
        <v>2.9231360334402323E-2</v>
      </c>
      <c r="BM112" s="65">
        <f>+'Indice PondENGHO'!BM110/'Indice PondENGHO'!BM109-1</f>
        <v>2.8808734356978949E-2</v>
      </c>
      <c r="BN112" s="65">
        <f>+'Indice PondENGHO'!BN110/'Indice PondENGHO'!BN109-1</f>
        <v>2.8292014605382887E-2</v>
      </c>
      <c r="BO112" s="65">
        <f>+'Indice PondENGHO'!BO110/'Indice PondENGHO'!BO109-1</f>
        <v>2.8313516715476661E-2</v>
      </c>
      <c r="BP112" s="65">
        <f>+'Indice PondENGHO'!BP110/'Indice PondENGHO'!BP109-1</f>
        <v>2.7861004716862148E-2</v>
      </c>
      <c r="BQ112" s="10">
        <f>+'Indice PondENGHO'!BQ110/'Indice PondENGHO'!BQ109-1</f>
        <v>3.1777079838131161E-2</v>
      </c>
      <c r="BR112" s="3">
        <f>+'Indice PondENGHO'!BR110/'Indice PondENGHO'!BR109-1</f>
        <v>2.8021745731335201E-2</v>
      </c>
      <c r="BS112" s="3">
        <f>+'Indice PondENGHO'!BS110/'Indice PondENGHO'!BS109-1</f>
        <v>1.0648802921254363E-2</v>
      </c>
      <c r="BT112" s="3">
        <f>+'Indice PondENGHO'!BT110/'Indice PondENGHO'!BT109-1</f>
        <v>3.3811458488950397E-2</v>
      </c>
      <c r="BU112" s="3">
        <f>+'Indice PondENGHO'!BU110/'Indice PondENGHO'!BU109-1</f>
        <v>1.9859560284181343E-2</v>
      </c>
      <c r="BV112" s="3">
        <f>+'Indice PondENGHO'!BV110/'Indice PondENGHO'!BV109-1</f>
        <v>2.1130151246925077E-2</v>
      </c>
      <c r="BW112" s="3">
        <f>+'Indice PondENGHO'!BW110/'Indice PondENGHO'!BW109-1</f>
        <v>4.0173136712668311E-2</v>
      </c>
      <c r="BX112" s="3">
        <f>+'Indice PondENGHO'!BX110/'Indice PondENGHO'!BX109-1</f>
        <v>3.2920594060595443E-2</v>
      </c>
      <c r="BY112" s="3">
        <f>+'Indice PondENGHO'!BY110/'Indice PondENGHO'!BY109-1</f>
        <v>2.5312732168930596E-2</v>
      </c>
      <c r="BZ112" s="3">
        <f>+'Indice PondENGHO'!BZ110/'Indice PondENGHO'!BZ109-1</f>
        <v>1.5766451841110474E-3</v>
      </c>
      <c r="CA112" s="3">
        <f>+'Indice PondENGHO'!CA110/'Indice PondENGHO'!CA109-1</f>
        <v>3.1131992085111637E-2</v>
      </c>
      <c r="CB112" s="11">
        <f>+'Indice PondENGHO'!CB110/'Indice PondENGHO'!CB109-1</f>
        <v>2.6894248988662772E-2</v>
      </c>
      <c r="CC112" s="55">
        <f>+'Indice PondENGHO'!CC110/'Indice PondENGHO'!CC109-1</f>
        <v>2.8351595330199597E-2</v>
      </c>
      <c r="CD112" s="56">
        <f>+'Indice PondENGHO'!CD110/'Indice PondENGHO'!CD109-1</f>
        <v>2.8351595330199597E-2</v>
      </c>
      <c r="CF112" s="3">
        <f t="shared" ref="CF112" si="30">+BL112-BP112</f>
        <v>1.3703556175401754E-3</v>
      </c>
    </row>
    <row r="113" spans="1:84" x14ac:dyDescent="0.25">
      <c r="A113" s="2">
        <f>+'Indice PondENGHO'!A111</f>
        <v>46023</v>
      </c>
      <c r="B113" s="1" t="str">
        <f>+'Indice PondENGHO'!B111</f>
        <v>Enero</v>
      </c>
      <c r="C113" s="1">
        <f>+'Indice PondENGHO'!C111</f>
        <v>2026</v>
      </c>
      <c r="D113" s="10">
        <f>+'Indice PondENGHO'!D111/'Indice PondENGHO'!D110-1</f>
        <v>4.5814359597343257E-2</v>
      </c>
      <c r="E113" s="3">
        <f>+'Indice PondENGHO'!E111/'Indice PondENGHO'!E110-1</f>
        <v>1.5458429038252008E-2</v>
      </c>
      <c r="F113" s="3">
        <f>+'Indice PondENGHO'!F111/'Indice PondENGHO'!F110-1</f>
        <v>-1.281162793000945E-3</v>
      </c>
      <c r="G113" s="3">
        <f>+'Indice PondENGHO'!G111/'Indice PondENGHO'!G110-1</f>
        <v>3.5974206214131277E-2</v>
      </c>
      <c r="H113" s="3">
        <f>+'Indice PondENGHO'!H111/'Indice PondENGHO'!H110-1</f>
        <v>1.8599647411427167E-2</v>
      </c>
      <c r="I113" s="3">
        <f>+'Indice PondENGHO'!I111/'Indice PondENGHO'!I110-1</f>
        <v>2.3620940174829519E-2</v>
      </c>
      <c r="J113" s="3">
        <f>+'Indice PondENGHO'!J111/'Indice PondENGHO'!J110-1</f>
        <v>2.0541937524690468E-2</v>
      </c>
      <c r="K113" s="3">
        <f>+'Indice PondENGHO'!K111/'Indice PondENGHO'!K110-1</f>
        <v>3.5598890264375793E-2</v>
      </c>
      <c r="L113" s="3">
        <f>+'Indice PondENGHO'!L111/'Indice PondENGHO'!L110-1</f>
        <v>1.1912450477196801E-2</v>
      </c>
      <c r="M113" s="3">
        <f>+'Indice PondENGHO'!M111/'Indice PondENGHO'!M110-1</f>
        <v>6.4961493928765712E-3</v>
      </c>
      <c r="N113" s="3">
        <f>+'Indice PondENGHO'!N111/'Indice PondENGHO'!N110-1</f>
        <v>3.9725289278630393E-2</v>
      </c>
      <c r="O113" s="11">
        <f>+'Indice PondENGHO'!O111/'Indice PondENGHO'!O110-1</f>
        <v>2.6770637181753321E-2</v>
      </c>
      <c r="P113" s="3">
        <f>+'Indice PondENGHO'!P111/'Indice PondENGHO'!P110-1</f>
        <v>4.605820925466575E-2</v>
      </c>
      <c r="Q113" s="3">
        <f>+'Indice PondENGHO'!Q111/'Indice PondENGHO'!Q110-1</f>
        <v>1.5065775007094606E-2</v>
      </c>
      <c r="R113" s="3">
        <f>+'Indice PondENGHO'!R111/'Indice PondENGHO'!R110-1</f>
        <v>-2.5039370118331572E-3</v>
      </c>
      <c r="S113" s="3">
        <f>+'Indice PondENGHO'!S111/'Indice PondENGHO'!S110-1</f>
        <v>3.1892124624395723E-2</v>
      </c>
      <c r="T113" s="3">
        <f>+'Indice PondENGHO'!T111/'Indice PondENGHO'!T110-1</f>
        <v>1.8337881803685008E-2</v>
      </c>
      <c r="U113" s="3">
        <f>+'Indice PondENGHO'!U111/'Indice PondENGHO'!U110-1</f>
        <v>2.3489293976360681E-2</v>
      </c>
      <c r="V113" s="3">
        <f>+'Indice PondENGHO'!V111/'Indice PondENGHO'!V110-1</f>
        <v>2.0408403436808387E-2</v>
      </c>
      <c r="W113" s="3">
        <f>+'Indice PondENGHO'!W111/'Indice PondENGHO'!W110-1</f>
        <v>3.5995762183510971E-2</v>
      </c>
      <c r="X113" s="3">
        <f>+'Indice PondENGHO'!X111/'Indice PondENGHO'!X110-1</f>
        <v>1.0975262965302823E-2</v>
      </c>
      <c r="Y113" s="3">
        <f>+'Indice PondENGHO'!Y111/'Indice PondENGHO'!Y110-1</f>
        <v>6.5869609397404272E-3</v>
      </c>
      <c r="Z113" s="3">
        <f>+'Indice PondENGHO'!Z111/'Indice PondENGHO'!Z110-1</f>
        <v>4.0656158133866915E-2</v>
      </c>
      <c r="AA113" s="3">
        <f>+'Indice PondENGHO'!AA111/'Indice PondENGHO'!AA110-1</f>
        <v>2.7262465898187704E-2</v>
      </c>
      <c r="AB113" s="10">
        <f>+'Indice PondENGHO'!AB111/'Indice PondENGHO'!AB110-1</f>
        <v>4.6306352080777602E-2</v>
      </c>
      <c r="AC113" s="3">
        <f>+'Indice PondENGHO'!AC111/'Indice PondENGHO'!AC110-1</f>
        <v>1.5460010327839502E-2</v>
      </c>
      <c r="AD113" s="3">
        <f>+'Indice PondENGHO'!AD111/'Indice PondENGHO'!AD110-1</f>
        <v>-2.8171513026087336E-3</v>
      </c>
      <c r="AE113" s="3">
        <f>+'Indice PondENGHO'!AE111/'Indice PondENGHO'!AE110-1</f>
        <v>3.0105756442377007E-2</v>
      </c>
      <c r="AF113" s="3">
        <f>+'Indice PondENGHO'!AF111/'Indice PondENGHO'!AF110-1</f>
        <v>1.8616769900995145E-2</v>
      </c>
      <c r="AG113" s="3">
        <f>+'Indice PondENGHO'!AG111/'Indice PondENGHO'!AG110-1</f>
        <v>2.3702806014835209E-2</v>
      </c>
      <c r="AH113" s="3">
        <f>+'Indice PondENGHO'!AH111/'Indice PondENGHO'!AH110-1</f>
        <v>2.00870816877734E-2</v>
      </c>
      <c r="AI113" s="3">
        <f>+'Indice PondENGHO'!AI111/'Indice PondENGHO'!AI110-1</f>
        <v>3.61957212195676E-2</v>
      </c>
      <c r="AJ113" s="3">
        <f>+'Indice PondENGHO'!AJ111/'Indice PondENGHO'!AJ110-1</f>
        <v>1.0306193027830979E-2</v>
      </c>
      <c r="AK113" s="3">
        <f>+'Indice PondENGHO'!AK111/'Indice PondENGHO'!AK110-1</f>
        <v>6.5852732238631528E-3</v>
      </c>
      <c r="AL113" s="3">
        <f>+'Indice PondENGHO'!AL111/'Indice PondENGHO'!AL110-1</f>
        <v>4.1359822565078197E-2</v>
      </c>
      <c r="AM113" s="11">
        <f>+'Indice PondENGHO'!AM111/'Indice PondENGHO'!AM110-1</f>
        <v>2.7552369677855237E-2</v>
      </c>
      <c r="AN113" s="3">
        <f>+'Indice PondENGHO'!AN111/'Indice PondENGHO'!AN110-1</f>
        <v>4.6407834057006436E-2</v>
      </c>
      <c r="AO113" s="3">
        <f>+'Indice PondENGHO'!AO111/'Indice PondENGHO'!AO110-1</f>
        <v>1.5518912413880592E-2</v>
      </c>
      <c r="AP113" s="3">
        <f>+'Indice PondENGHO'!AP111/'Indice PondENGHO'!AP110-1</f>
        <v>-3.4821654325587481E-3</v>
      </c>
      <c r="AQ113" s="3">
        <f>+'Indice PondENGHO'!AQ111/'Indice PondENGHO'!AQ110-1</f>
        <v>2.9968364072860076E-2</v>
      </c>
      <c r="AR113" s="3">
        <f>+'Indice PondENGHO'!AR111/'Indice PondENGHO'!AR110-1</f>
        <v>1.8618303231187294E-2</v>
      </c>
      <c r="AS113" s="3">
        <f>+'Indice PondENGHO'!AS111/'Indice PondENGHO'!AS110-1</f>
        <v>2.3329535312479832E-2</v>
      </c>
      <c r="AT113" s="3">
        <f>+'Indice PondENGHO'!AT111/'Indice PondENGHO'!AT110-1</f>
        <v>1.9443725147169522E-2</v>
      </c>
      <c r="AU113" s="3">
        <f>+'Indice PondENGHO'!AU111/'Indice PondENGHO'!AU110-1</f>
        <v>3.6325447995107174E-2</v>
      </c>
      <c r="AV113" s="3">
        <f>+'Indice PondENGHO'!AV111/'Indice PondENGHO'!AV110-1</f>
        <v>1.0349255838149052E-2</v>
      </c>
      <c r="AW113" s="3">
        <f>+'Indice PondENGHO'!AW111/'Indice PondENGHO'!AW110-1</f>
        <v>6.3299827192768721E-3</v>
      </c>
      <c r="AX113" s="3">
        <f>+'Indice PondENGHO'!AX111/'Indice PondENGHO'!AX110-1</f>
        <v>4.1739243594648201E-2</v>
      </c>
      <c r="AY113" s="3">
        <f>+'Indice PondENGHO'!AY111/'Indice PondENGHO'!AY110-1</f>
        <v>2.7759382224771256E-2</v>
      </c>
      <c r="AZ113" s="10">
        <f>+'Indice PondENGHO'!AZ111/'Indice PondENGHO'!AZ110-1</f>
        <v>4.684346562786601E-2</v>
      </c>
      <c r="BA113" s="3">
        <f>+'Indice PondENGHO'!BA111/'Indice PondENGHO'!BA110-1</f>
        <v>1.5281173237063017E-2</v>
      </c>
      <c r="BB113" s="3">
        <f>+'Indice PondENGHO'!BB111/'Indice PondENGHO'!BB110-1</f>
        <v>-4.2709220188378305E-3</v>
      </c>
      <c r="BC113" s="3">
        <f>+'Indice PondENGHO'!BC111/'Indice PondENGHO'!BC110-1</f>
        <v>2.8315246338401989E-2</v>
      </c>
      <c r="BD113" s="3">
        <f>+'Indice PondENGHO'!BD111/'Indice PondENGHO'!BD110-1</f>
        <v>1.800970144356917E-2</v>
      </c>
      <c r="BE113" s="3">
        <f>+'Indice PondENGHO'!BE111/'Indice PondENGHO'!BE110-1</f>
        <v>2.3083341228518739E-2</v>
      </c>
      <c r="BF113" s="3">
        <f>+'Indice PondENGHO'!BF111/'Indice PondENGHO'!BF110-1</f>
        <v>1.8573569665661704E-2</v>
      </c>
      <c r="BG113" s="3">
        <f>+'Indice PondENGHO'!BG111/'Indice PondENGHO'!BG110-1</f>
        <v>3.6694945606158269E-2</v>
      </c>
      <c r="BH113" s="3">
        <f>+'Indice PondENGHO'!BH111/'Indice PondENGHO'!BH110-1</f>
        <v>1.0004746555220434E-2</v>
      </c>
      <c r="BI113" s="3">
        <f>+'Indice PondENGHO'!BI111/'Indice PondENGHO'!BI110-1</f>
        <v>6.2958186921879822E-3</v>
      </c>
      <c r="BJ113" s="3">
        <f>+'Indice PondENGHO'!BJ111/'Indice PondENGHO'!BJ110-1</f>
        <v>4.2835803273242323E-2</v>
      </c>
      <c r="BK113" s="11">
        <f>+'Indice PondENGHO'!BK111/'Indice PondENGHO'!BK110-1</f>
        <v>2.7844043657405226E-2</v>
      </c>
      <c r="BL113" s="65">
        <f>+'Indice PondENGHO'!BL111/'Indice PondENGHO'!BL110-1</f>
        <v>3.2018697348702219E-2</v>
      </c>
      <c r="BM113" s="65">
        <f>+'Indice PondENGHO'!BM111/'Indice PondENGHO'!BM110-1</f>
        <v>3.0184803261636306E-2</v>
      </c>
      <c r="BN113" s="65">
        <f>+'Indice PondENGHO'!BN111/'Indice PondENGHO'!BN110-1</f>
        <v>2.9644033619464327E-2</v>
      </c>
      <c r="BO113" s="65">
        <f>+'Indice PondENGHO'!BO111/'Indice PondENGHO'!BO110-1</f>
        <v>2.8496842715682646E-2</v>
      </c>
      <c r="BP113" s="65">
        <f>+'Indice PondENGHO'!BP111/'Indice PondENGHO'!BP110-1</f>
        <v>2.7163190275482085E-2</v>
      </c>
      <c r="BQ113" s="10">
        <f>+'Indice PondENGHO'!BQ111/'Indice PondENGHO'!BQ110-1</f>
        <v>4.6315001019338276E-2</v>
      </c>
      <c r="BR113" s="3">
        <f>+'Indice PondENGHO'!BR111/'Indice PondENGHO'!BR110-1</f>
        <v>1.5343344139938653E-2</v>
      </c>
      <c r="BS113" s="3">
        <f>+'Indice PondENGHO'!BS111/'Indice PondENGHO'!BS110-1</f>
        <v>-3.1254628879137103E-3</v>
      </c>
      <c r="BT113" s="3">
        <f>+'Indice PondENGHO'!BT111/'Indice PondENGHO'!BT110-1</f>
        <v>3.0485064062050649E-2</v>
      </c>
      <c r="BU113" s="3">
        <f>+'Indice PondENGHO'!BU111/'Indice PondENGHO'!BU110-1</f>
        <v>1.8327281977752685E-2</v>
      </c>
      <c r="BV113" s="3">
        <f>+'Indice PondENGHO'!BV111/'Indice PondENGHO'!BV110-1</f>
        <v>2.3334714518233435E-2</v>
      </c>
      <c r="BW113" s="3">
        <f>+'Indice PondENGHO'!BW111/'Indice PondENGHO'!BW110-1</f>
        <v>1.9471315984409321E-2</v>
      </c>
      <c r="BX113" s="3">
        <f>+'Indice PondENGHO'!BX111/'Indice PondENGHO'!BX110-1</f>
        <v>3.6267876371258501E-2</v>
      </c>
      <c r="BY113" s="3">
        <f>+'Indice PondENGHO'!BY111/'Indice PondENGHO'!BY110-1</f>
        <v>1.0464687506746895E-2</v>
      </c>
      <c r="BZ113" s="3">
        <f>+'Indice PondENGHO'!BZ111/'Indice PondENGHO'!BZ110-1</f>
        <v>6.4043596285743298E-3</v>
      </c>
      <c r="CA113" s="3">
        <f>+'Indice PondENGHO'!CA111/'Indice PondENGHO'!CA110-1</f>
        <v>4.182865474578068E-2</v>
      </c>
      <c r="CB113" s="11">
        <f>+'Indice PondENGHO'!CB111/'Indice PondENGHO'!CB110-1</f>
        <v>2.7590596027417202E-2</v>
      </c>
      <c r="CC113" s="55">
        <f>+'Indice PondENGHO'!CC111/'Indice PondENGHO'!CC110-1</f>
        <v>2.8958445894649465E-2</v>
      </c>
      <c r="CD113" s="56">
        <f>+'Indice PondENGHO'!CD111/'Indice PondENGHO'!CD110-1</f>
        <v>2.8958445894649465E-2</v>
      </c>
      <c r="CF113" s="3">
        <f t="shared" ref="CF113" si="31">+BL113-BP113</f>
        <v>4.8555070732201333E-3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3:BP113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3:CB11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4"/>
  <sheetViews>
    <sheetView tabSelected="1" zoomScaleNormal="100" workbookViewId="0">
      <pane xSplit="3" ySplit="4" topLeftCell="BE108" activePane="bottomRight" state="frozen"/>
      <selection pane="topRight" activeCell="D1" sqref="D1"/>
      <selection pane="bottomLeft" activeCell="A5" sqref="A5"/>
      <selection pane="bottomRight" activeCell="BP114" sqref="BP114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4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  <row r="111" spans="1:74" x14ac:dyDescent="0.25">
      <c r="A111" s="2">
        <f>+'Indice PondENGHO'!A108</f>
        <v>45931</v>
      </c>
      <c r="B111" s="1" t="s">
        <v>88</v>
      </c>
      <c r="C111" s="1">
        <f t="shared" si="120"/>
        <v>2025</v>
      </c>
      <c r="D111" s="57">
        <f>+'Indice PondENGHO'!D108</f>
        <v>10030.4287109375</v>
      </c>
      <c r="E111" s="57">
        <f>+'Indice PondENGHO'!E108</f>
        <v>7188.03466796875</v>
      </c>
      <c r="F111" s="57">
        <f>+'Indice PondENGHO'!F108</f>
        <v>7568.15478515625</v>
      </c>
      <c r="G111" s="57">
        <f>+'Indice PondENGHO'!G108</f>
        <v>10332.9404296875</v>
      </c>
      <c r="H111" s="57">
        <f>+'Indice PondENGHO'!H108</f>
        <v>8128.48681640625</v>
      </c>
      <c r="I111" s="57">
        <f>+'Indice PondENGHO'!I108</f>
        <v>10994.494140625</v>
      </c>
      <c r="J111" s="57">
        <f>+'Indice PondENGHO'!J108</f>
        <v>10090.6376953125</v>
      </c>
      <c r="K111" s="57">
        <f>+'Indice PondENGHO'!K108</f>
        <v>8719.255859375</v>
      </c>
      <c r="L111" s="57">
        <f>+'Indice PondENGHO'!L108</f>
        <v>8603.5966796875</v>
      </c>
      <c r="M111" s="57">
        <f>+'Indice PondENGHO'!M108</f>
        <v>8785.1787109375</v>
      </c>
      <c r="N111" s="57">
        <f>+'Indice PondENGHO'!N108</f>
        <v>11735.19921875</v>
      </c>
      <c r="O111" s="57">
        <f>+'Indice PondENGHO'!O108</f>
        <v>9383.392578125</v>
      </c>
      <c r="P111">
        <f>+'Indice PondENGHO'!BL108</f>
        <v>9576.841796875</v>
      </c>
      <c r="Q111" s="65">
        <f t="shared" ref="Q111" si="390">+P111/P110-1</f>
        <v>2.312266576693256E-2</v>
      </c>
      <c r="R111" s="75">
        <f t="shared" ref="R111" si="391">+D$3*(D111-D110)/$P110</f>
        <v>0.82223793308057103</v>
      </c>
      <c r="S111" s="75">
        <f t="shared" ref="S111" si="392">+E$3*(E111-E110)/$P110</f>
        <v>4.0583856869221654E-2</v>
      </c>
      <c r="T111" s="75">
        <f t="shared" ref="T111" si="393">+F$3*(F111-F110)/$P110</f>
        <v>0.1416529337637189</v>
      </c>
      <c r="U111" s="75">
        <f t="shared" ref="U111" si="394">+G$3*(G111-G110)/$P110</f>
        <v>0.42806176091667192</v>
      </c>
      <c r="V111" s="75">
        <f t="shared" ref="V111" si="395">+H$3*(H111-H110)/$P110</f>
        <v>5.1551865327699585E-2</v>
      </c>
      <c r="W111" s="75">
        <f t="shared" ref="W111" si="396">+I$3*(I111-I110)/$P110</f>
        <v>9.0952787813479818E-2</v>
      </c>
      <c r="X111" s="75">
        <f t="shared" ref="X111" si="397">+J$3*(J111-J110)/$P110</f>
        <v>0.35945476098214185</v>
      </c>
      <c r="Y111" s="75">
        <f t="shared" ref="Y111" si="398">+K$3*(K111-K110)/$P110</f>
        <v>0.10190319608029989</v>
      </c>
      <c r="Z111" s="75">
        <f t="shared" ref="Z111" si="399">+L$3*(L111-L110)/$P110</f>
        <v>0.11683778447234051</v>
      </c>
      <c r="AA111" s="75">
        <f t="shared" ref="AA111" si="400">+M$3*(M111-M110)/$P110</f>
        <v>2.4526568212215875E-2</v>
      </c>
      <c r="AB111" s="75">
        <f t="shared" ref="AB111" si="401">+N$3*(N111-N110)/$P110</f>
        <v>0.11638651155944925</v>
      </c>
      <c r="AC111" s="75">
        <f t="shared" ref="AC111" si="402">+O$3*(O111-O110)/$P110</f>
        <v>8.7600040845495553E-2</v>
      </c>
      <c r="AE111" s="57">
        <f>+'Indice PondENGHO'!AZ108</f>
        <v>10166.7607421875</v>
      </c>
      <c r="AF111" s="57">
        <f>+'Indice PondENGHO'!BA108</f>
        <v>7230.1181640625</v>
      </c>
      <c r="AG111" s="57">
        <f>+'Indice PondENGHO'!BB108</f>
        <v>7784.927734375</v>
      </c>
      <c r="AH111" s="57">
        <f>+'Indice PondENGHO'!BC108</f>
        <v>9782.0703125</v>
      </c>
      <c r="AI111" s="57">
        <f>+'Indice PondENGHO'!BD108</f>
        <v>8207.638671875</v>
      </c>
      <c r="AJ111" s="57">
        <f>+'Indice PondENGHO'!BE108</f>
        <v>10696.435546875</v>
      </c>
      <c r="AK111" s="57">
        <f>+'Indice PondENGHO'!BF108</f>
        <v>10004.892578125</v>
      </c>
      <c r="AL111" s="57">
        <f>+'Indice PondENGHO'!BG108</f>
        <v>8699.908203125</v>
      </c>
      <c r="AM111" s="57">
        <f>+'Indice PondENGHO'!BH108</f>
        <v>8689.34375</v>
      </c>
      <c r="AN111" s="57">
        <f>+'Indice PondENGHO'!BI108</f>
        <v>8791.341796875</v>
      </c>
      <c r="AO111" s="57">
        <f>+'Indice PondENGHO'!BJ108</f>
        <v>11637.5517578125</v>
      </c>
      <c r="AP111" s="57">
        <f>+'Indice PondENGHO'!BK108</f>
        <v>9433.685546875</v>
      </c>
      <c r="AQ111" s="57">
        <f>+'Indice PondENGHO'!BP108</f>
        <v>9631.8046875</v>
      </c>
      <c r="AR111" s="65">
        <f t="shared" ref="AR111" si="403">+AQ111/AQ110-1</f>
        <v>2.3412916233022996E-2</v>
      </c>
      <c r="AS111" s="75">
        <f t="shared" ref="AS111" si="404">+AE$3*(AE111-AE110)/$P110</f>
        <v>0.37854055463413866</v>
      </c>
      <c r="AT111" s="75">
        <f t="shared" ref="AT111" si="405">+AF$3*(AF111-AF110)/$P110</f>
        <v>3.2603347624760512E-2</v>
      </c>
      <c r="AU111" s="75">
        <f t="shared" ref="AU111" si="406">+AG$3*(AG111-AG110)/$P110</f>
        <v>0.11641398000195834</v>
      </c>
      <c r="AV111" s="75">
        <f t="shared" ref="AV111" si="407">+AH$3*(AH111-AH110)/$P110</f>
        <v>0.42781890261990702</v>
      </c>
      <c r="AW111" s="75">
        <f t="shared" ref="AW111" si="408">+AI$3*(AI111-AI110)/$P110</f>
        <v>0.10367042848167622</v>
      </c>
      <c r="AX111" s="75">
        <f t="shared" ref="AX111" si="409">+AJ$3*(AJ111-AJ110)/$P110</f>
        <v>0.15763163201613237</v>
      </c>
      <c r="AY111" s="75">
        <f t="shared" ref="AY111" si="410">+AK$3*(AK111-AK110)/$P110</f>
        <v>0.56340457304995484</v>
      </c>
      <c r="AZ111" s="75">
        <f t="shared" ref="AZ111" si="411">+AL$3*(AL111-AL110)/$P110</f>
        <v>9.1413421379265891E-2</v>
      </c>
      <c r="BA111" s="75">
        <f t="shared" ref="BA111" si="412">+AM$3*(AM111-AM110)/$P110</f>
        <v>0.13861574067591872</v>
      </c>
      <c r="BB111" s="75">
        <f t="shared" ref="BB111" si="413">+AN$3*(AN111-AN110)/$P110</f>
        <v>5.7887924016839891E-2</v>
      </c>
      <c r="BC111" s="75">
        <f t="shared" ref="BC111" si="414">+AO$3*(AO111-AO110)/$P110</f>
        <v>0.23138388073149185</v>
      </c>
      <c r="BD111" s="75">
        <f t="shared" ref="BD111" si="415">+AP$3*(AP111-AP110)/$P110</f>
        <v>0.12040290017374858</v>
      </c>
      <c r="BF111" s="57">
        <f t="shared" ref="BF111" si="416">+R111-AS111</f>
        <v>0.44369737844643237</v>
      </c>
      <c r="BG111" s="57">
        <f t="shared" ref="BG111" si="417">+S111-AT111</f>
        <v>7.9805092444611425E-3</v>
      </c>
      <c r="BH111" s="57">
        <f t="shared" ref="BH111" si="418">+T111-AU111</f>
        <v>2.5238953761760566E-2</v>
      </c>
      <c r="BI111" s="57">
        <f t="shared" ref="BI111" si="419">+U111-AV111</f>
        <v>2.4285829676490289E-4</v>
      </c>
      <c r="BJ111" s="57">
        <f t="shared" ref="BJ111" si="420">+V111-AW111</f>
        <v>-5.2118563153976637E-2</v>
      </c>
      <c r="BK111" s="57">
        <f t="shared" ref="BK111" si="421">+W111-AX111</f>
        <v>-6.6678844202652549E-2</v>
      </c>
      <c r="BL111" s="57">
        <f t="shared" ref="BL111" si="422">+X111-AY111</f>
        <v>-0.20394981206781299</v>
      </c>
      <c r="BM111" s="57">
        <f t="shared" ref="BM111" si="423">+Y111-AZ111</f>
        <v>1.0489774701034002E-2</v>
      </c>
      <c r="BN111" s="57">
        <f t="shared" ref="BN111" si="424">+Z111-BA111</f>
        <v>-2.1777956203578211E-2</v>
      </c>
      <c r="BO111" s="57">
        <f t="shared" ref="BO111" si="425">+AA111-BB111</f>
        <v>-3.3361355804624016E-2</v>
      </c>
      <c r="BP111" s="57">
        <f t="shared" ref="BP111" si="426">+AB111-BC111</f>
        <v>-0.1149973691720426</v>
      </c>
      <c r="BQ111" s="57">
        <f t="shared" ref="BQ111" si="427">+AC111-BD111</f>
        <v>-3.2802859328253026E-2</v>
      </c>
      <c r="BR111" s="57">
        <f t="shared" ref="BR111" si="428">+SUM(BF111:BQ111)</f>
        <v>-3.8037285482486985E-2</v>
      </c>
      <c r="BU111" t="s">
        <v>102</v>
      </c>
      <c r="BV111">
        <v>3.151248062048824E-2</v>
      </c>
    </row>
    <row r="112" spans="1:74" x14ac:dyDescent="0.25">
      <c r="A112" s="2">
        <f>+'Indice PondENGHO'!A109</f>
        <v>45962</v>
      </c>
      <c r="B112" s="1" t="s">
        <v>88</v>
      </c>
      <c r="C112" s="1">
        <f t="shared" si="120"/>
        <v>2025</v>
      </c>
      <c r="D112" s="57">
        <f>+'Indice PondENGHO'!D109</f>
        <v>10323.419921875</v>
      </c>
      <c r="E112" s="57">
        <f>+'Indice PondENGHO'!E109</f>
        <v>7270.57275390625</v>
      </c>
      <c r="F112" s="57">
        <f>+'Indice PondENGHO'!F109</f>
        <v>7613.224609375</v>
      </c>
      <c r="G112" s="57">
        <f>+'Indice PondENGHO'!G109</f>
        <v>10679.3037109375</v>
      </c>
      <c r="H112" s="57">
        <f>+'Indice PondENGHO'!H109</f>
        <v>8221.6259765625</v>
      </c>
      <c r="I112" s="57">
        <f>+'Indice PondENGHO'!I109</f>
        <v>11254.9833984375</v>
      </c>
      <c r="J112" s="57">
        <f>+'Indice PondENGHO'!J109</f>
        <v>10399.5068359375</v>
      </c>
      <c r="K112" s="57">
        <f>+'Indice PondENGHO'!K109</f>
        <v>8951.5380859375</v>
      </c>
      <c r="L112" s="57">
        <f>+'Indice PondENGHO'!L109</f>
        <v>8797.9609375</v>
      </c>
      <c r="M112" s="57">
        <f>+'Indice PondENGHO'!M109</f>
        <v>8974.3779296875</v>
      </c>
      <c r="N112" s="57">
        <f>+'Indice PondENGHO'!N109</f>
        <v>11991.712890625</v>
      </c>
      <c r="O112" s="57">
        <f>+'Indice PondENGHO'!O109</f>
        <v>9612.5751953125</v>
      </c>
      <c r="P112">
        <f>+'Indice PondENGHO'!BL109</f>
        <v>9816.017578125</v>
      </c>
      <c r="Q112" s="65">
        <f t="shared" ref="Q112" si="429">+P112/P111-1</f>
        <v>2.4974389921325058E-2</v>
      </c>
      <c r="R112" s="75">
        <f t="shared" ref="R112" si="430">+D$3*(D112-D111)/$P111</f>
        <v>1.0547188974123269</v>
      </c>
      <c r="S112" s="75">
        <f t="shared" ref="S112" si="431">+E$3*(E112-E111)/$P111</f>
        <v>1.916426117041934E-2</v>
      </c>
      <c r="T112" s="75">
        <f t="shared" ref="T112" si="432">+F$3*(F112-F111)/$P111</f>
        <v>3.7612746337042306E-2</v>
      </c>
      <c r="U112" s="75">
        <f t="shared" ref="U112" si="433">+G$3*(G112-G111)/$P111</f>
        <v>0.51325051074900918</v>
      </c>
      <c r="V112" s="75">
        <f t="shared" ref="V112" si="434">+H$3*(H112-H111)/$P111</f>
        <v>4.0062480770731573E-2</v>
      </c>
      <c r="W112" s="75">
        <f t="shared" ref="W112" si="435">+I$3*(I112-I111)/$P111</f>
        <v>0.11384824625924708</v>
      </c>
      <c r="X112" s="75">
        <f t="shared" ref="X112" si="436">+J$3*(J112-J111)/$P111</f>
        <v>0.33505915210637138</v>
      </c>
      <c r="Y112" s="75">
        <f t="shared" ref="Y112" si="437">+K$3*(K112-K111)/$P111</f>
        <v>0.12165432719095634</v>
      </c>
      <c r="Z112" s="75">
        <f t="shared" ref="Z112" si="438">+L$3*(L112-L111)/$P111</f>
        <v>0.15631748592012942</v>
      </c>
      <c r="AA112" s="75">
        <f t="shared" ref="AA112" si="439">+M$3*(M112-M111)/$P111</f>
        <v>3.2561796523483677E-2</v>
      </c>
      <c r="AB112" s="75">
        <f t="shared" ref="AB112" si="440">+N$3*(N112-N111)/$P111</f>
        <v>0.11755209553594234</v>
      </c>
      <c r="AC112" s="75">
        <f t="shared" ref="AC112" si="441">+O$3*(O112-O111)/$P111</f>
        <v>8.7805657501061965E-2</v>
      </c>
      <c r="AE112" s="57">
        <f>+'Indice PondENGHO'!AZ109</f>
        <v>10447.2919921875</v>
      </c>
      <c r="AF112" s="57">
        <f>+'Indice PondENGHO'!BA109</f>
        <v>7315.62548828125</v>
      </c>
      <c r="AG112" s="57">
        <f>+'Indice PondENGHO'!BB109</f>
        <v>7822.0283203125</v>
      </c>
      <c r="AH112" s="57">
        <f>+'Indice PondENGHO'!BC109</f>
        <v>10127.8134765625</v>
      </c>
      <c r="AI112" s="57">
        <f>+'Indice PondENGHO'!BD109</f>
        <v>8301.521484375</v>
      </c>
      <c r="AJ112" s="57">
        <f>+'Indice PondENGHO'!BE109</f>
        <v>10955.583984375</v>
      </c>
      <c r="AK112" s="57">
        <f>+'Indice PondENGHO'!BF109</f>
        <v>10307.6669921875</v>
      </c>
      <c r="AL112" s="57">
        <f>+'Indice PondENGHO'!BG109</f>
        <v>8935.79296875</v>
      </c>
      <c r="AM112" s="57">
        <f>+'Indice PondENGHO'!BH109</f>
        <v>8908.1123046875</v>
      </c>
      <c r="AN112" s="57">
        <f>+'Indice PondENGHO'!BI109</f>
        <v>9024.8134765625</v>
      </c>
      <c r="AO112" s="57">
        <f>+'Indice PondENGHO'!BJ109</f>
        <v>11932.7236328125</v>
      </c>
      <c r="AP112" s="57">
        <f>+'Indice PondENGHO'!BK109</f>
        <v>9672.4462890625</v>
      </c>
      <c r="AQ112" s="57">
        <f>+'Indice PondENGHO'!BP109</f>
        <v>9868.3935546875</v>
      </c>
      <c r="AR112" s="65">
        <f t="shared" ref="AR112" si="442">+AQ112/AQ111-1</f>
        <v>2.4563295754381542E-2</v>
      </c>
      <c r="AS112" s="75">
        <f t="shared" ref="AS112" si="443">+AE$3*(AE112-AE111)/$P111</f>
        <v>0.45985097166433009</v>
      </c>
      <c r="AT112" s="75">
        <f t="shared" ref="AT112" si="444">+AF$3*(AF112-AF111)/$P111</f>
        <v>1.6431881238821392E-2</v>
      </c>
      <c r="AU112" s="75">
        <f t="shared" ref="AU112" si="445">+AG$3*(AG112-AG111)/$P111</f>
        <v>2.3126222923126615E-2</v>
      </c>
      <c r="AV112" s="75">
        <f t="shared" ref="AV112" si="446">+AH$3*(AH112-AH111)/$P111</f>
        <v>0.5277950868186414</v>
      </c>
      <c r="AW112" s="75">
        <f t="shared" ref="AW112" si="447">+AI$3*(AI112-AI111)/$P111</f>
        <v>6.8576458816655556E-2</v>
      </c>
      <c r="AX112" s="75">
        <f t="shared" ref="AX112" si="448">+AJ$3*(AJ112-AJ111)/$P111</f>
        <v>0.21638582797302719</v>
      </c>
      <c r="AY112" s="75">
        <f t="shared" ref="AY112" si="449">+AK$3*(AK112-AK111)/$P111</f>
        <v>0.49461086260776038</v>
      </c>
      <c r="AZ112" s="75">
        <f t="shared" ref="AZ112" si="450">+AL$3*(AL112-AL111)/$P111</f>
        <v>0.11220857423139088</v>
      </c>
      <c r="BA112" s="75">
        <f t="shared" ref="BA112" si="451">+AM$3*(AM112-AM111)/$P111</f>
        <v>0.22263865176719777</v>
      </c>
      <c r="BB112" s="75">
        <f t="shared" ref="BB112" si="452">+AN$3*(AN112-AN111)/$P111</f>
        <v>9.1759240628409594E-2</v>
      </c>
      <c r="BC112" s="75">
        <f t="shared" ref="BC112" si="453">+AO$3*(AO112-AO111)/$P111</f>
        <v>0.25154955768442311</v>
      </c>
      <c r="BD112" s="75">
        <f t="shared" ref="BD112" si="454">+AP$3*(AP112-AP111)/$P111</f>
        <v>0.12485576459277246</v>
      </c>
      <c r="BF112" s="57">
        <f t="shared" ref="BF112" si="455">+R112-AS112</f>
        <v>0.59486792574799685</v>
      </c>
      <c r="BG112" s="57">
        <f t="shared" ref="BG112" si="456">+S112-AT112</f>
        <v>2.7323799315979481E-3</v>
      </c>
      <c r="BH112" s="57">
        <f t="shared" ref="BH112" si="457">+T112-AU112</f>
        <v>1.4486523413915691E-2</v>
      </c>
      <c r="BI112" s="57">
        <f t="shared" ref="BI112" si="458">+U112-AV112</f>
        <v>-1.454457606963222E-2</v>
      </c>
      <c r="BJ112" s="57">
        <f t="shared" ref="BJ112" si="459">+V112-AW112</f>
        <v>-2.8513978045923982E-2</v>
      </c>
      <c r="BK112" s="57">
        <f t="shared" ref="BK112" si="460">+W112-AX112</f>
        <v>-0.10253758171378011</v>
      </c>
      <c r="BL112" s="57">
        <f t="shared" ref="BL112" si="461">+X112-AY112</f>
        <v>-0.159551710501389</v>
      </c>
      <c r="BM112" s="57">
        <f t="shared" ref="BM112" si="462">+Y112-AZ112</f>
        <v>9.4457529595654566E-3</v>
      </c>
      <c r="BN112" s="57">
        <f t="shared" ref="BN112" si="463">+Z112-BA112</f>
        <v>-6.6321165847068347E-2</v>
      </c>
      <c r="BO112" s="57">
        <f t="shared" ref="BO112" si="464">+AA112-BB112</f>
        <v>-5.9197444104925917E-2</v>
      </c>
      <c r="BP112" s="57">
        <f t="shared" ref="BP112" si="465">+AB112-BC112</f>
        <v>-0.13399746214848077</v>
      </c>
      <c r="BQ112" s="57">
        <f t="shared" ref="BQ112" si="466">+AC112-BD112</f>
        <v>-3.7050107091710499E-2</v>
      </c>
      <c r="BR112" s="57">
        <f t="shared" ref="BR112" si="467">+SUM(BF112:BQ112)</f>
        <v>1.9818556530165038E-2</v>
      </c>
      <c r="BU112" t="s">
        <v>102</v>
      </c>
      <c r="BV112">
        <v>3.151248062048824E-2</v>
      </c>
    </row>
    <row r="113" spans="1:70" x14ac:dyDescent="0.25">
      <c r="A113" s="2">
        <f>+'Indice PondENGHO'!A110</f>
        <v>45992</v>
      </c>
      <c r="B113" s="1" t="s">
        <v>88</v>
      </c>
      <c r="C113" s="1">
        <f t="shared" si="120"/>
        <v>2025</v>
      </c>
      <c r="D113" s="57">
        <f>+'Indice PondENGHO'!D110</f>
        <v>10670.6318359375</v>
      </c>
      <c r="E113" s="57">
        <f>+'Indice PondENGHO'!E110</f>
        <v>7470.73583984375</v>
      </c>
      <c r="F113" s="57">
        <f>+'Indice PondENGHO'!F110</f>
        <v>7691.072265625</v>
      </c>
      <c r="G113" s="57">
        <f>+'Indice PondENGHO'!G110</f>
        <v>11031.1513671875</v>
      </c>
      <c r="H113" s="57">
        <f>+'Indice PondENGHO'!H110</f>
        <v>8379.4326171875</v>
      </c>
      <c r="I113" s="57">
        <f>+'Indice PondENGHO'!I110</f>
        <v>11481.3876953125</v>
      </c>
      <c r="J113" s="57">
        <f>+'Indice PondENGHO'!J110</f>
        <v>10817.5234375</v>
      </c>
      <c r="K113" s="57">
        <f>+'Indice PondENGHO'!K110</f>
        <v>9236.7861328125</v>
      </c>
      <c r="L113" s="57">
        <f>+'Indice PondENGHO'!L110</f>
        <v>9013.5146484375</v>
      </c>
      <c r="M113" s="57">
        <f>+'Indice PondENGHO'!M110</f>
        <v>8997.66796875</v>
      </c>
      <c r="N113" s="57">
        <f>+'Indice PondENGHO'!N110</f>
        <v>12362.2939453125</v>
      </c>
      <c r="O113" s="57">
        <f>+'Indice PondENGHO'!O110</f>
        <v>9855.0576171875</v>
      </c>
      <c r="P113">
        <f>+'Indice PondENGHO'!BL110</f>
        <v>10102.953125</v>
      </c>
      <c r="Q113" s="65">
        <f t="shared" ref="Q113" si="468">+P113/P112-1</f>
        <v>2.9231360334402323E-2</v>
      </c>
      <c r="R113" s="75">
        <f t="shared" ref="R113" si="469">+D$3*(D113-D112)/$P112</f>
        <v>1.2194492736249944</v>
      </c>
      <c r="S113" s="75">
        <f t="shared" ref="S113" si="470">+E$3*(E113-E112)/$P112</f>
        <v>4.5342834047307871E-2</v>
      </c>
      <c r="T113" s="75">
        <f t="shared" ref="T113" si="471">+F$3*(F113-F112)/$P112</f>
        <v>6.3384301462488593E-2</v>
      </c>
      <c r="U113" s="75">
        <f t="shared" ref="U113" si="472">+G$3*(G113-G112)/$P112</f>
        <v>0.5086735938003395</v>
      </c>
      <c r="V113" s="75">
        <f t="shared" ref="V113" si="473">+H$3*(H113-H112)/$P112</f>
        <v>6.6224361743955781E-2</v>
      </c>
      <c r="W113" s="75">
        <f t="shared" ref="W113" si="474">+I$3*(I113-I112)/$P112</f>
        <v>9.6540196276040699E-2</v>
      </c>
      <c r="X113" s="75">
        <f t="shared" ref="X113" si="475">+J$3*(J113-J112)/$P112</f>
        <v>0.44241259396344645</v>
      </c>
      <c r="Y113" s="75">
        <f t="shared" ref="Y113" si="476">+K$3*(K113-K112)/$P112</f>
        <v>0.14575425638046532</v>
      </c>
      <c r="Z113" s="75">
        <f t="shared" ref="Z113" si="477">+L$3*(L113-L112)/$P112</f>
        <v>0.16913506204914919</v>
      </c>
      <c r="AA113" s="75">
        <f t="shared" ref="AA113" si="478">+M$3*(M113-M112)/$P112</f>
        <v>3.9106254478630739E-3</v>
      </c>
      <c r="AB113" s="75">
        <f t="shared" ref="AB113" si="479">+N$3*(N113-N112)/$P112</f>
        <v>0.16568761892278483</v>
      </c>
      <c r="AC113" s="75">
        <f t="shared" ref="AC113" si="480">+O$3*(O113-O112)/$P112</f>
        <v>9.0637532011012448E-2</v>
      </c>
      <c r="AE113" s="57">
        <f>+'Indice PondENGHO'!AZ110</f>
        <v>10763.8662109375</v>
      </c>
      <c r="AF113" s="57">
        <f>+'Indice PondENGHO'!BA110</f>
        <v>7522.75634765625</v>
      </c>
      <c r="AG113" s="57">
        <f>+'Indice PondENGHO'!BB110</f>
        <v>7907.07666015625</v>
      </c>
      <c r="AH113" s="57">
        <f>+'Indice PondENGHO'!BC110</f>
        <v>10476.529296875</v>
      </c>
      <c r="AI113" s="57">
        <f>+'Indice PondENGHO'!BD110</f>
        <v>8468.2548828125</v>
      </c>
      <c r="AJ113" s="57">
        <f>+'Indice PondENGHO'!BE110</f>
        <v>11194.025390625</v>
      </c>
      <c r="AK113" s="57">
        <f>+'Indice PondENGHO'!BF110</f>
        <v>10723.666015625</v>
      </c>
      <c r="AL113" s="57">
        <f>+'Indice PondENGHO'!BG110</f>
        <v>9235.2158203125</v>
      </c>
      <c r="AM113" s="57">
        <f>+'Indice PondENGHO'!BH110</f>
        <v>9136.9716796875</v>
      </c>
      <c r="AN113" s="57">
        <f>+'Indice PondENGHO'!BI110</f>
        <v>9030.05078125</v>
      </c>
      <c r="AO113" s="57">
        <f>+'Indice PondENGHO'!BJ110</f>
        <v>12299.1220703125</v>
      </c>
      <c r="AP113" s="57">
        <f>+'Indice PondENGHO'!BK110</f>
        <v>9943.8134765625</v>
      </c>
      <c r="AQ113" s="57">
        <f>+'Indice PondENGHO'!BP110</f>
        <v>10143.3369140625</v>
      </c>
      <c r="AR113" s="65">
        <f t="shared" ref="AR113" si="481">+AQ113/AQ112-1</f>
        <v>2.7861004716862148E-2</v>
      </c>
      <c r="AS113" s="75">
        <f t="shared" ref="AS113" si="482">+AE$3*(AE113-AE112)/$P112</f>
        <v>0.50628888283465612</v>
      </c>
      <c r="AT113" s="75">
        <f t="shared" ref="AT113" si="483">+AF$3*(AF113-AF112)/$P112</f>
        <v>3.883432527849813E-2</v>
      </c>
      <c r="AU113" s="75">
        <f t="shared" ref="AU113" si="484">+AG$3*(AG113-AG112)/$P112</f>
        <v>5.1722173338394919E-2</v>
      </c>
      <c r="AV113" s="75">
        <f t="shared" ref="AV113" si="485">+AH$3*(AH113-AH112)/$P112</f>
        <v>0.51936224733351222</v>
      </c>
      <c r="AW113" s="75">
        <f t="shared" ref="AW113" si="486">+AI$3*(AI113-AI112)/$P112</f>
        <v>0.11882246332908185</v>
      </c>
      <c r="AX113" s="75">
        <f t="shared" ref="AX113" si="487">+AJ$3*(AJ113-AJ112)/$P112</f>
        <v>0.19424456642557442</v>
      </c>
      <c r="AY113" s="75">
        <f t="shared" ref="AY113" si="488">+AK$3*(AK113-AK112)/$P112</f>
        <v>0.66301564221466014</v>
      </c>
      <c r="AZ113" s="75">
        <f t="shared" ref="AZ113" si="489">+AL$3*(AL113-AL112)/$P112</f>
        <v>0.13896264716380549</v>
      </c>
      <c r="BA113" s="75">
        <f t="shared" ref="BA113" si="490">+AM$3*(AM113-AM112)/$P112</f>
        <v>0.22723297746111629</v>
      </c>
      <c r="BB113" s="75">
        <f t="shared" ref="BB113" si="491">+AN$3*(AN113-AN112)/$P112</f>
        <v>2.008216028764527E-3</v>
      </c>
      <c r="BC113" s="75">
        <f t="shared" ref="BC113" si="492">+AO$3*(AO113-AO112)/$P112</f>
        <v>0.30464158250695467</v>
      </c>
      <c r="BD113" s="75">
        <f t="shared" ref="BD113" si="493">+AP$3*(AP113-AP112)/$P112</f>
        <v>0.13844905560243922</v>
      </c>
      <c r="BF113" s="57">
        <f t="shared" ref="BF113" si="494">+R113-AS113</f>
        <v>0.71316039079033833</v>
      </c>
      <c r="BG113" s="57">
        <f t="shared" ref="BG113" si="495">+S113-AT113</f>
        <v>6.5085087688097412E-3</v>
      </c>
      <c r="BH113" s="57">
        <f t="shared" ref="BH113" si="496">+T113-AU113</f>
        <v>1.1662128124093674E-2</v>
      </c>
      <c r="BI113" s="57">
        <f t="shared" ref="BI113" si="497">+U113-AV113</f>
        <v>-1.0688653533172721E-2</v>
      </c>
      <c r="BJ113" s="57">
        <f t="shared" ref="BJ113" si="498">+V113-AW113</f>
        <v>-5.2598101585126067E-2</v>
      </c>
      <c r="BK113" s="57">
        <f t="shared" ref="BK113" si="499">+W113-AX113</f>
        <v>-9.7704370149533717E-2</v>
      </c>
      <c r="BL113" s="57">
        <f t="shared" ref="BL113" si="500">+X113-AY113</f>
        <v>-0.22060304825121368</v>
      </c>
      <c r="BM113" s="57">
        <f t="shared" ref="BM113" si="501">+Y113-AZ113</f>
        <v>6.791609216659833E-3</v>
      </c>
      <c r="BN113" s="57">
        <f t="shared" ref="BN113" si="502">+Z113-BA113</f>
        <v>-5.8097915411967099E-2</v>
      </c>
      <c r="BO113" s="57">
        <f t="shared" ref="BO113" si="503">+AA113-BB113</f>
        <v>1.902409419098547E-3</v>
      </c>
      <c r="BP113" s="57">
        <f t="shared" ref="BP113" si="504">+AB113-BC113</f>
        <v>-0.13895396358416984</v>
      </c>
      <c r="BQ113" s="57">
        <f t="shared" ref="BQ113" si="505">+AC113-BD113</f>
        <v>-4.7811523591426777E-2</v>
      </c>
      <c r="BR113" s="57">
        <f t="shared" ref="BR113" si="506">+SUM(BF113:BQ113)</f>
        <v>0.11356747021239015</v>
      </c>
    </row>
    <row r="114" spans="1:70" x14ac:dyDescent="0.25">
      <c r="A114" s="2">
        <f>+'Indice PondENGHO'!A111</f>
        <v>46023</v>
      </c>
      <c r="B114" s="1" t="s">
        <v>88</v>
      </c>
      <c r="C114" s="1">
        <f t="shared" si="120"/>
        <v>2026</v>
      </c>
      <c r="D114" s="57">
        <f>+'Indice PondENGHO'!D111</f>
        <v>11159.5</v>
      </c>
      <c r="E114" s="57">
        <f>+'Indice PondENGHO'!E111</f>
        <v>7586.2216796875</v>
      </c>
      <c r="F114" s="57">
        <f>+'Indice PondENGHO'!F111</f>
        <v>7681.21875</v>
      </c>
      <c r="G114" s="57">
        <f>+'Indice PondENGHO'!G111</f>
        <v>11427.98828125</v>
      </c>
      <c r="H114" s="57">
        <f>+'Indice PondENGHO'!H111</f>
        <v>8535.287109375</v>
      </c>
      <c r="I114" s="57">
        <f>+'Indice PondENGHO'!I111</f>
        <v>11752.5888671875</v>
      </c>
      <c r="J114" s="57">
        <f>+'Indice PondENGHO'!J111</f>
        <v>11039.736328125</v>
      </c>
      <c r="K114" s="57">
        <f>+'Indice PondENGHO'!K111</f>
        <v>9565.60546875</v>
      </c>
      <c r="L114" s="57">
        <f>+'Indice PondENGHO'!L111</f>
        <v>9120.8876953125</v>
      </c>
      <c r="M114" s="57">
        <f>+'Indice PondENGHO'!M111</f>
        <v>9056.1181640625</v>
      </c>
      <c r="N114" s="57">
        <f>+'Indice PondENGHO'!N111</f>
        <v>12853.3896484375</v>
      </c>
      <c r="O114" s="57">
        <f>+'Indice PondENGHO'!O111</f>
        <v>10118.8837890625</v>
      </c>
      <c r="P114">
        <f>+'Indice PondENGHO'!BL111</f>
        <v>10426.4365234375</v>
      </c>
      <c r="Q114" s="65">
        <f t="shared" ref="Q114" si="507">+P114/P113-1</f>
        <v>3.2018697348702219E-2</v>
      </c>
      <c r="R114" s="75">
        <f t="shared" ref="R114" si="508">+D$3*(D114-D113)/$P113</f>
        <v>1.6681990365700388</v>
      </c>
      <c r="S114" s="75">
        <f t="shared" ref="S114" si="509">+E$3*(E114-E113)/$P113</f>
        <v>2.5417942896144321E-2</v>
      </c>
      <c r="T114" s="75">
        <f t="shared" ref="T114" si="510">+F$3*(F114-F113)/$P113</f>
        <v>-7.7949685208221929E-3</v>
      </c>
      <c r="U114" s="75">
        <f t="shared" ref="U114" si="511">+G$3*(G114-G113)/$P113</f>
        <v>0.55742133099338531</v>
      </c>
      <c r="V114" s="75">
        <f t="shared" ref="V114" si="512">+H$3*(H114-H113)/$P113</f>
        <v>6.3547551322745033E-2</v>
      </c>
      <c r="W114" s="75">
        <f t="shared" ref="W114" si="513">+I$3*(I114-I113)/$P113</f>
        <v>0.11235749905119166</v>
      </c>
      <c r="X114" s="75">
        <f t="shared" ref="X114" si="514">+J$3*(J114-J113)/$P113</f>
        <v>0.22850209673153871</v>
      </c>
      <c r="Y114" s="75">
        <f t="shared" ref="Y114" si="515">+K$3*(K114-K113)/$P113</f>
        <v>0.16324613359749243</v>
      </c>
      <c r="Z114" s="75">
        <f t="shared" ref="Z114" si="516">+L$3*(L114-L113)/$P113</f>
        <v>8.1857864304992436E-2</v>
      </c>
      <c r="AA114" s="75">
        <f t="shared" ref="AA114" si="517">+M$3*(M114-M113)/$P113</f>
        <v>9.5356205581391563E-3</v>
      </c>
      <c r="AB114" s="75">
        <f t="shared" ref="AB114" si="518">+N$3*(N114-N113)/$P113</f>
        <v>0.21333394649324358</v>
      </c>
      <c r="AC114" s="75">
        <f t="shared" ref="AC114" si="519">+O$3*(O114-O113)/$P113</f>
        <v>9.5814817297685775E-2</v>
      </c>
      <c r="AE114" s="57">
        <f>+'Indice PondENGHO'!AZ111</f>
        <v>11268.0830078125</v>
      </c>
      <c r="AF114" s="57">
        <f>+'Indice PondENGHO'!BA111</f>
        <v>7637.712890625</v>
      </c>
      <c r="AG114" s="57">
        <f>+'Indice PondENGHO'!BB111</f>
        <v>7873.30615234375</v>
      </c>
      <c r="AH114" s="57">
        <f>+'Indice PondENGHO'!BC111</f>
        <v>10773.1748046875</v>
      </c>
      <c r="AI114" s="57">
        <f>+'Indice PondENGHO'!BD111</f>
        <v>8620.765625</v>
      </c>
      <c r="AJ114" s="57">
        <f>+'Indice PondENGHO'!BE111</f>
        <v>11452.4208984375</v>
      </c>
      <c r="AK114" s="57">
        <f>+'Indice PondENGHO'!BF111</f>
        <v>10922.8427734375</v>
      </c>
      <c r="AL114" s="57">
        <f>+'Indice PondENGHO'!BG111</f>
        <v>9574.1015625</v>
      </c>
      <c r="AM114" s="57">
        <f>+'Indice PondENGHO'!BH111</f>
        <v>9228.384765625</v>
      </c>
      <c r="AN114" s="57">
        <f>+'Indice PondENGHO'!BI111</f>
        <v>9086.90234375</v>
      </c>
      <c r="AO114" s="57">
        <f>+'Indice PondENGHO'!BJ111</f>
        <v>12825.96484375</v>
      </c>
      <c r="AP114" s="57">
        <f>+'Indice PondENGHO'!BK111</f>
        <v>10220.689453125</v>
      </c>
      <c r="AQ114" s="57">
        <f>+'Indice PondENGHO'!BP111</f>
        <v>10418.8623046875</v>
      </c>
      <c r="AR114" s="65">
        <f t="shared" ref="AR114" si="520">+AQ114/AQ113-1</f>
        <v>2.7163190275482085E-2</v>
      </c>
      <c r="AS114" s="75">
        <f t="shared" ref="AS114" si="521">+AE$3*(AE114-AE113)/$P113</f>
        <v>0.78347861334180979</v>
      </c>
      <c r="AT114" s="75">
        <f t="shared" ref="AT114" si="522">+AF$3*(AF114-AF113)/$P113</f>
        <v>2.0940721520261801E-2</v>
      </c>
      <c r="AU114" s="75">
        <f t="shared" ref="AU114" si="523">+AG$3*(AG114-AG113)/$P113</f>
        <v>-1.9954254435047929E-2</v>
      </c>
      <c r="AV114" s="75">
        <f t="shared" ref="AV114" si="524">+AH$3*(AH114-AH113)/$P113</f>
        <v>0.42926303548156697</v>
      </c>
      <c r="AW114" s="75">
        <f t="shared" ref="AW114" si="525">+AI$3*(AI114-AI113)/$P113</f>
        <v>0.10559986751280287</v>
      </c>
      <c r="AX114" s="75">
        <f t="shared" ref="AX114" si="526">+AJ$3*(AJ114-AJ113)/$P113</f>
        <v>0.20452158669432829</v>
      </c>
      <c r="AY114" s="75">
        <f t="shared" ref="AY114" si="527">+AK$3*(AK114-AK113)/$P113</f>
        <v>0.30843035350940262</v>
      </c>
      <c r="AZ114" s="75">
        <f t="shared" ref="AZ114" si="528">+AL$3*(AL114-AL113)/$P113</f>
        <v>0.1528105797137331</v>
      </c>
      <c r="BA114" s="75">
        <f t="shared" ref="BA114" si="529">+AM$3*(AM114-AM113)/$P113</f>
        <v>8.8185668440386014E-2</v>
      </c>
      <c r="BB114" s="75">
        <f t="shared" ref="BB114" si="530">+AN$3*(AN114-AN113)/$P113</f>
        <v>2.1180293967842878E-2</v>
      </c>
      <c r="BC114" s="75">
        <f t="shared" ref="BC114" si="531">+AO$3*(AO114-AO113)/$P113</f>
        <v>0.42560192787267581</v>
      </c>
      <c r="BD114" s="75">
        <f t="shared" ref="BD114" si="532">+AP$3*(AP114-AP113)/$P113</f>
        <v>0.13724765374586897</v>
      </c>
      <c r="BF114" s="57">
        <f t="shared" ref="BF114" si="533">+R114-AS114</f>
        <v>0.88472042322822897</v>
      </c>
      <c r="BG114" s="57">
        <f t="shared" ref="BG114" si="534">+S114-AT114</f>
        <v>4.4772213758825195E-3</v>
      </c>
      <c r="BH114" s="57">
        <f t="shared" ref="BH114" si="535">+T114-AU114</f>
        <v>1.2159285914225736E-2</v>
      </c>
      <c r="BI114" s="57">
        <f t="shared" ref="BI114" si="536">+U114-AV114</f>
        <v>0.12815829551181834</v>
      </c>
      <c r="BJ114" s="57">
        <f t="shared" ref="BJ114" si="537">+V114-AW114</f>
        <v>-4.2052316190057837E-2</v>
      </c>
      <c r="BK114" s="57">
        <f t="shared" ref="BK114" si="538">+W114-AX114</f>
        <v>-9.2164087643136633E-2</v>
      </c>
      <c r="BL114" s="57">
        <f t="shared" ref="BL114" si="539">+X114-AY114</f>
        <v>-7.9928256777863915E-2</v>
      </c>
      <c r="BM114" s="57">
        <f t="shared" ref="BM114" si="540">+Y114-AZ114</f>
        <v>1.043555388375933E-2</v>
      </c>
      <c r="BN114" s="57">
        <f t="shared" ref="BN114" si="541">+Z114-BA114</f>
        <v>-6.3278041353935777E-3</v>
      </c>
      <c r="BO114" s="57">
        <f t="shared" ref="BO114" si="542">+AA114-BB114</f>
        <v>-1.1644673409703722E-2</v>
      </c>
      <c r="BP114" s="57">
        <f t="shared" ref="BP114" si="543">+AB114-BC114</f>
        <v>-0.21226798137943223</v>
      </c>
      <c r="BQ114" s="57">
        <f t="shared" ref="BQ114" si="544">+AC114-BD114</f>
        <v>-4.14328364481832E-2</v>
      </c>
      <c r="BR114" s="57">
        <f t="shared" ref="BR114" si="545">+SUM(BF114:BQ114)</f>
        <v>0.55413282393014351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1:BR1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2:BR1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3:BR1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4:BR1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1</v>
      </c>
    </row>
    <row r="3" spans="2:9" x14ac:dyDescent="0.25">
      <c r="B3" s="69" t="s">
        <v>142</v>
      </c>
      <c r="C3" s="69">
        <f>+YEAR(MAX('Indice PondENGHO'!A3:A5001))</f>
        <v>2026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1</v>
      </c>
      <c r="C6">
        <f>+C3-1</f>
        <v>2025</v>
      </c>
      <c r="D6" s="66">
        <f t="shared" ref="D6" si="1">+DATE(C6,B6,1)</f>
        <v>45658</v>
      </c>
      <c r="E6" s="3">
        <f>+VLOOKUP(auxgr12!$D6,'Infla Mensual PondENGHO'!$A:$BP,E$3,FALSE)</f>
        <v>2.1683087926834599E-2</v>
      </c>
      <c r="F6" s="3">
        <f>+VLOOKUP(auxgr12!$D6,'Infla Mensual PondENGHO'!$A:$BP,F$3,FALSE)</f>
        <v>2.1830068820724913E-2</v>
      </c>
      <c r="G6" s="3">
        <f>+VLOOKUP(auxgr12!$D6,'Infla Mensual PondENGHO'!$A:$BP,G$3,FALSE)</f>
        <v>2.2057149321017544E-2</v>
      </c>
      <c r="H6" s="3">
        <f>+VLOOKUP(auxgr12!$D6,'Infla Mensual PondENGHO'!$A:$BP,H$3,FALSE)</f>
        <v>2.2236804360479923E-2</v>
      </c>
      <c r="I6" s="3">
        <f>+VLOOKUP(auxgr12!$D6,'Infla Mensual PondENGHO'!$A:$BP,I$3,FALSE)</f>
        <v>2.3088842860465864E-2</v>
      </c>
    </row>
    <row r="7" spans="2:9" x14ac:dyDescent="0.25">
      <c r="B7">
        <f>+C2+1</f>
        <v>2</v>
      </c>
      <c r="C7">
        <f>+C3-1</f>
        <v>2025</v>
      </c>
      <c r="D7" s="66">
        <f>+DATE(C7,B7,1)</f>
        <v>45689</v>
      </c>
      <c r="E7" s="3">
        <f>+VLOOKUP(auxgr12!$D7,'Infla Mensual PondENGHO'!$A:$BP,E$3,FALSE)</f>
        <v>2.5431625266019386E-2</v>
      </c>
      <c r="F7" s="3">
        <f>+VLOOKUP(auxgr12!$D7,'Infla Mensual PondENGHO'!$A:$BP,F$3,FALSE)</f>
        <v>2.4840247490863998E-2</v>
      </c>
      <c r="G7" s="3">
        <f>+VLOOKUP(auxgr12!$D7,'Infla Mensual PondENGHO'!$A:$BP,G$3,FALSE)</f>
        <v>2.4691478137405909E-2</v>
      </c>
      <c r="H7" s="3">
        <f>+VLOOKUP(auxgr12!$D7,'Infla Mensual PondENGHO'!$A:$BP,H$3,FALSE)</f>
        <v>2.41015151821935E-2</v>
      </c>
      <c r="I7" s="3">
        <f>+VLOOKUP(auxgr12!$D7,'Infla Mensual PondENGHO'!$A:$BP,I$3,FALSE)</f>
        <v>2.3463202163408026E-2</v>
      </c>
    </row>
    <row r="8" spans="2:9" x14ac:dyDescent="0.25">
      <c r="B8">
        <f t="shared" ref="B8:B15" si="2">+IF(B7=12,1,+B7+1)</f>
        <v>3</v>
      </c>
      <c r="C8">
        <f t="shared" ref="C8:C15" si="3">+IF(B8=1,+C7+1,C7)</f>
        <v>2025</v>
      </c>
      <c r="D8" s="66">
        <f t="shared" ref="D8:D18" si="4">+DATE(C8,B8,1)</f>
        <v>45717</v>
      </c>
      <c r="E8" s="3">
        <f>+VLOOKUP(auxgr12!$D8,'Infla Mensual PondENGHO'!$A:$BP,E$3,FALSE)</f>
        <v>4.0417766602393046E-2</v>
      </c>
      <c r="F8" s="3">
        <f>+VLOOKUP(auxgr12!$D8,'Infla Mensual PondENGHO'!$A:$BP,F$3,FALSE)</f>
        <v>3.8886727251923991E-2</v>
      </c>
      <c r="G8" s="3">
        <f>+VLOOKUP(auxgr12!$D8,'Infla Mensual PondENGHO'!$A:$BP,G$3,FALSE)</f>
        <v>3.8639102225477062E-2</v>
      </c>
      <c r="H8" s="3">
        <f>+VLOOKUP(auxgr12!$D8,'Infla Mensual PondENGHO'!$A:$BP,H$3,FALSE)</f>
        <v>3.6876381454772567E-2</v>
      </c>
      <c r="I8" s="3">
        <f>+VLOOKUP(auxgr12!$D8,'Infla Mensual PondENGHO'!$A:$BP,I$3,FALSE)</f>
        <v>3.4934655305836726E-2</v>
      </c>
    </row>
    <row r="9" spans="2:9" x14ac:dyDescent="0.25">
      <c r="B9">
        <f t="shared" si="2"/>
        <v>4</v>
      </c>
      <c r="C9">
        <f t="shared" si="3"/>
        <v>2025</v>
      </c>
      <c r="D9" s="66">
        <f t="shared" si="4"/>
        <v>45748</v>
      </c>
      <c r="E9" s="3">
        <f>+VLOOKUP(auxgr12!$D9,'Infla Mensual PondENGHO'!$A:$BP,E$3,FALSE)</f>
        <v>2.8504308700224357E-2</v>
      </c>
      <c r="F9" s="3">
        <f>+VLOOKUP(auxgr12!$D9,'Infla Mensual PondENGHO'!$A:$BP,F$3,FALSE)</f>
        <v>2.8020849967455463E-2</v>
      </c>
      <c r="G9" s="3">
        <f>+VLOOKUP(auxgr12!$D9,'Infla Mensual PondENGHO'!$A:$BP,G$3,FALSE)</f>
        <v>2.7920156390233597E-2</v>
      </c>
      <c r="H9" s="3">
        <f>+VLOOKUP(auxgr12!$D9,'Infla Mensual PondENGHO'!$A:$BP,H$3,FALSE)</f>
        <v>2.7676350255949611E-2</v>
      </c>
      <c r="I9" s="3">
        <f>+VLOOKUP(auxgr12!$D9,'Infla Mensual PondENGHO'!$A:$BP,I$3,FALSE)</f>
        <v>2.7452917023244927E-2</v>
      </c>
    </row>
    <row r="10" spans="2:9" x14ac:dyDescent="0.25">
      <c r="B10">
        <f t="shared" si="2"/>
        <v>5</v>
      </c>
      <c r="C10">
        <f t="shared" si="3"/>
        <v>2025</v>
      </c>
      <c r="D10" s="66">
        <f t="shared" si="4"/>
        <v>45778</v>
      </c>
      <c r="E10" s="3">
        <f>+VLOOKUP(auxgr12!$D10,'Infla Mensual PondENGHO'!$A:$BP,E$3,FALSE)</f>
        <v>1.2751313421927479E-2</v>
      </c>
      <c r="F10" s="3">
        <f>+VLOOKUP(auxgr12!$D10,'Infla Mensual PondENGHO'!$A:$BP,F$3,FALSE)</f>
        <v>1.3733404112175052E-2</v>
      </c>
      <c r="G10" s="3">
        <f>+VLOOKUP(auxgr12!$D10,'Infla Mensual PondENGHO'!$A:$BP,G$3,FALSE)</f>
        <v>1.4599080955532528E-2</v>
      </c>
      <c r="H10" s="3">
        <f>+VLOOKUP(auxgr12!$D10,'Infla Mensual PondENGHO'!$A:$BP,H$3,FALSE)</f>
        <v>1.5163439517204891E-2</v>
      </c>
      <c r="I10" s="3">
        <f>+VLOOKUP(auxgr12!$D10,'Infla Mensual PondENGHO'!$A:$BP,I$3,FALSE)</f>
        <v>1.6435099364626282E-2</v>
      </c>
    </row>
    <row r="11" spans="2:9" x14ac:dyDescent="0.25">
      <c r="B11">
        <f t="shared" si="2"/>
        <v>6</v>
      </c>
      <c r="C11">
        <f t="shared" si="3"/>
        <v>2025</v>
      </c>
      <c r="D11" s="66">
        <f t="shared" si="4"/>
        <v>45809</v>
      </c>
      <c r="E11" s="3">
        <f>+VLOOKUP(auxgr12!$D11,'Infla Mensual PondENGHO'!$A:$BP,E$3,FALSE)</f>
        <v>1.2950143399720782E-2</v>
      </c>
      <c r="F11" s="3">
        <f>+VLOOKUP(auxgr12!$D11,'Infla Mensual PondENGHO'!$A:$BP,F$3,FALSE)</f>
        <v>1.4541447415141295E-2</v>
      </c>
      <c r="G11" s="3">
        <f>+VLOOKUP(auxgr12!$D11,'Infla Mensual PondENGHO'!$A:$BP,G$3,FALSE)</f>
        <v>1.5219308921756269E-2</v>
      </c>
      <c r="H11" s="3">
        <f>+VLOOKUP(auxgr12!$D11,'Infla Mensual PondENGHO'!$A:$BP,H$3,FALSE)</f>
        <v>1.6314289096683643E-2</v>
      </c>
      <c r="I11" s="3">
        <f>+VLOOKUP(auxgr12!$D11,'Infla Mensual PondENGHO'!$A:$BP,I$3,FALSE)</f>
        <v>1.8209352879243301E-2</v>
      </c>
    </row>
    <row r="12" spans="2:9" x14ac:dyDescent="0.25">
      <c r="B12">
        <f t="shared" si="2"/>
        <v>7</v>
      </c>
      <c r="C12">
        <f t="shared" si="3"/>
        <v>2025</v>
      </c>
      <c r="D12" s="66">
        <f t="shared" si="4"/>
        <v>45839</v>
      </c>
      <c r="E12" s="3">
        <f>+VLOOKUP(auxgr12!$D12,'Infla Mensual PondENGHO'!$A:$BP,E$3,FALSE)</f>
        <v>1.803644664052495E-2</v>
      </c>
      <c r="F12" s="3">
        <f>+VLOOKUP(auxgr12!$D12,'Infla Mensual PondENGHO'!$A:$BP,F$3,FALSE)</f>
        <v>1.856971382087691E-2</v>
      </c>
      <c r="G12" s="3">
        <f>+VLOOKUP(auxgr12!$D12,'Infla Mensual PondENGHO'!$A:$BP,G$3,FALSE)</f>
        <v>1.8732068346340558E-2</v>
      </c>
      <c r="H12" s="3">
        <f>+VLOOKUP(auxgr12!$D12,'Infla Mensual PondENGHO'!$A:$BP,H$3,FALSE)</f>
        <v>1.9287987231903614E-2</v>
      </c>
      <c r="I12" s="3">
        <f>+VLOOKUP(auxgr12!$D12,'Infla Mensual PondENGHO'!$A:$BP,I$3,FALSE)</f>
        <v>1.9805482283514531E-2</v>
      </c>
    </row>
    <row r="13" spans="2:9" x14ac:dyDescent="0.25">
      <c r="B13">
        <f t="shared" si="2"/>
        <v>8</v>
      </c>
      <c r="C13">
        <f t="shared" si="3"/>
        <v>2025</v>
      </c>
      <c r="D13" s="66">
        <f t="shared" si="4"/>
        <v>45870</v>
      </c>
      <c r="E13" s="3">
        <f>+VLOOKUP(auxgr12!$D13,'Infla Mensual PondENGHO'!$A:$BP,E$3,FALSE)</f>
        <v>1.7303095323675466E-2</v>
      </c>
      <c r="F13" s="3">
        <f>+VLOOKUP(auxgr12!$D13,'Infla Mensual PondENGHO'!$A:$BP,F$3,FALSE)</f>
        <v>1.8475699510283272E-2</v>
      </c>
      <c r="G13" s="3">
        <f>+VLOOKUP(auxgr12!$D13,'Infla Mensual PondENGHO'!$A:$BP,G$3,FALSE)</f>
        <v>1.8536726191060948E-2</v>
      </c>
      <c r="H13" s="3">
        <f>+VLOOKUP(auxgr12!$D13,'Infla Mensual PondENGHO'!$A:$BP,H$3,FALSE)</f>
        <v>1.9263572562809195E-2</v>
      </c>
      <c r="I13" s="3">
        <f>+VLOOKUP(auxgr12!$D13,'Infla Mensual PondENGHO'!$A:$BP,I$3,FALSE)</f>
        <v>1.9529831860293001E-2</v>
      </c>
    </row>
    <row r="14" spans="2:9" x14ac:dyDescent="0.25">
      <c r="B14">
        <f t="shared" si="2"/>
        <v>9</v>
      </c>
      <c r="C14">
        <f t="shared" si="3"/>
        <v>2025</v>
      </c>
      <c r="D14" s="66">
        <f t="shared" si="4"/>
        <v>45901</v>
      </c>
      <c r="E14" s="3">
        <f>+VLOOKUP(auxgr12!$D14,'Infla Mensual PondENGHO'!$A:$BP,E$3,FALSE)</f>
        <v>2.0373502502535779E-2</v>
      </c>
      <c r="F14" s="3">
        <f>+VLOOKUP(auxgr12!$D14,'Infla Mensual PondENGHO'!$A:$BP,F$3,FALSE)</f>
        <v>2.0784270904638857E-2</v>
      </c>
      <c r="G14" s="3">
        <f>+VLOOKUP(auxgr12!$D14,'Infla Mensual PondENGHO'!$A:$BP,G$3,FALSE)</f>
        <v>2.0891709320997265E-2</v>
      </c>
      <c r="H14" s="3">
        <f>+VLOOKUP(auxgr12!$D14,'Infla Mensual PondENGHO'!$A:$BP,H$3,FALSE)</f>
        <v>2.1056557796722997E-2</v>
      </c>
      <c r="I14" s="3">
        <f>+VLOOKUP(auxgr12!$D14,'Infla Mensual PondENGHO'!$A:$BP,I$3,FALSE)</f>
        <v>2.1050594042087312E-2</v>
      </c>
    </row>
    <row r="15" spans="2:9" x14ac:dyDescent="0.25">
      <c r="B15">
        <f t="shared" si="2"/>
        <v>10</v>
      </c>
      <c r="C15">
        <f t="shared" si="3"/>
        <v>2025</v>
      </c>
      <c r="D15" s="66">
        <f t="shared" si="4"/>
        <v>45931</v>
      </c>
      <c r="E15" s="3">
        <f>+VLOOKUP(auxgr12!$D15,'Infla Mensual PondENGHO'!$A:$BP,E$3,FALSE)</f>
        <v>2.312266576693256E-2</v>
      </c>
      <c r="F15" s="3">
        <f>+VLOOKUP(auxgr12!$D15,'Infla Mensual PondENGHO'!$A:$BP,F$3,FALSE)</f>
        <v>2.34032582024577E-2</v>
      </c>
      <c r="G15" s="3">
        <f>+VLOOKUP(auxgr12!$D15,'Infla Mensual PondENGHO'!$A:$BP,G$3,FALSE)</f>
        <v>2.3415086838504795E-2</v>
      </c>
      <c r="H15" s="3">
        <f>+VLOOKUP(auxgr12!$D15,'Infla Mensual PondENGHO'!$A:$BP,H$3,FALSE)</f>
        <v>2.3532995768112963E-2</v>
      </c>
      <c r="I15" s="3">
        <f>+VLOOKUP(auxgr12!$D15,'Infla Mensual PondENGHO'!$A:$BP,I$3,FALSE)</f>
        <v>2.3412916233022996E-2</v>
      </c>
    </row>
    <row r="16" spans="2:9" x14ac:dyDescent="0.25">
      <c r="B16">
        <f>+IF(B15=12,1,+B15+1)</f>
        <v>11</v>
      </c>
      <c r="C16">
        <f t="shared" ref="C16" si="5">+IF(B16=1,+C15+1,C15)</f>
        <v>2025</v>
      </c>
      <c r="D16" s="66">
        <f t="shared" si="4"/>
        <v>45962</v>
      </c>
      <c r="E16" s="3">
        <f>+VLOOKUP(auxgr12!$D16,'Infla Mensual PondENGHO'!$A:$BP,E$3,FALSE)</f>
        <v>2.4974389921325058E-2</v>
      </c>
      <c r="F16" s="3">
        <f>+VLOOKUP(auxgr12!$D16,'Infla Mensual PondENGHO'!$A:$BP,F$3,FALSE)</f>
        <v>2.489415958118002E-2</v>
      </c>
      <c r="G16" s="3">
        <f>+VLOOKUP(auxgr12!$D16,'Infla Mensual PondENGHO'!$A:$BP,G$3,FALSE)</f>
        <v>2.4852827280616552E-2</v>
      </c>
      <c r="H16" s="3">
        <f>+VLOOKUP(auxgr12!$D16,'Infla Mensual PondENGHO'!$A:$BP,H$3,FALSE)</f>
        <v>2.4748870872465689E-2</v>
      </c>
      <c r="I16" s="3">
        <f>+VLOOKUP(auxgr12!$D16,'Infla Mensual PondENGHO'!$A:$BP,I$3,FALSE)</f>
        <v>2.4563295754381542E-2</v>
      </c>
    </row>
    <row r="17" spans="2:11" x14ac:dyDescent="0.25">
      <c r="B17">
        <f t="shared" ref="B17:B18" si="6">+IF(B16=12,1,+B16+1)</f>
        <v>12</v>
      </c>
      <c r="C17">
        <f t="shared" ref="C17:C18" si="7">+IF(B17=1,+C16+1,C16)</f>
        <v>2025</v>
      </c>
      <c r="D17" s="66">
        <f t="shared" si="4"/>
        <v>45992</v>
      </c>
      <c r="E17" s="3">
        <f>+VLOOKUP(auxgr12!$D17,'Infla Mensual PondENGHO'!$A:$BP,E$3,FALSE)</f>
        <v>2.9231360334402323E-2</v>
      </c>
      <c r="F17" s="3">
        <f>+VLOOKUP(auxgr12!$D17,'Infla Mensual PondENGHO'!$A:$BP,F$3,FALSE)</f>
        <v>2.8808734356978949E-2</v>
      </c>
      <c r="G17" s="3">
        <f>+VLOOKUP(auxgr12!$D17,'Infla Mensual PondENGHO'!$A:$BP,G$3,FALSE)</f>
        <v>2.8292014605382887E-2</v>
      </c>
      <c r="H17" s="3">
        <f>+VLOOKUP(auxgr12!$D17,'Infla Mensual PondENGHO'!$A:$BP,H$3,FALSE)</f>
        <v>2.8313516715476661E-2</v>
      </c>
      <c r="I17" s="3">
        <f>+VLOOKUP(auxgr12!$D17,'Infla Mensual PondENGHO'!$A:$BP,I$3,FALSE)</f>
        <v>2.7861004716862148E-2</v>
      </c>
    </row>
    <row r="18" spans="2:11" x14ac:dyDescent="0.25">
      <c r="B18">
        <f t="shared" si="6"/>
        <v>1</v>
      </c>
      <c r="C18">
        <f t="shared" si="7"/>
        <v>2026</v>
      </c>
      <c r="D18" s="66">
        <f t="shared" si="4"/>
        <v>46023</v>
      </c>
      <c r="E18" s="3">
        <f>+VLOOKUP(auxgr12!$D18,'Infla Mensual PondENGHO'!$A:$BP,E$3,FALSE)</f>
        <v>3.2018697348702219E-2</v>
      </c>
      <c r="F18" s="3">
        <f>+VLOOKUP(auxgr12!$D18,'Infla Mensual PondENGHO'!$A:$BP,F$3,FALSE)</f>
        <v>3.0184803261636306E-2</v>
      </c>
      <c r="G18" s="3">
        <f>+VLOOKUP(auxgr12!$D18,'Infla Mensual PondENGHO'!$A:$BP,G$3,FALSE)</f>
        <v>2.9644033619464327E-2</v>
      </c>
      <c r="H18" s="3">
        <f>+VLOOKUP(auxgr12!$D18,'Infla Mensual PondENGHO'!$A:$BP,H$3,FALSE)</f>
        <v>2.8496842715682646E-2</v>
      </c>
      <c r="I18" s="3">
        <f>+VLOOKUP(auxgr12!$D18,'Infla Mensual PondENGHO'!$A:$BP,I$3,FALSE)</f>
        <v>2.7163190275482085E-2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13"/>
  <sheetViews>
    <sheetView zoomScaleNormal="100" workbookViewId="0">
      <pane xSplit="3" ySplit="3" topLeftCell="BH107" activePane="bottomRight" state="frozen"/>
      <selection pane="topRight" activeCell="D1" sqref="D1"/>
      <selection pane="bottomLeft" activeCell="A4" sqref="A4"/>
      <selection pane="bottomRight" activeCell="BU114" sqref="BU114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13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  <row r="110" spans="1:84" x14ac:dyDescent="0.25">
      <c r="A110" s="2">
        <f t="shared" ref="A110" si="96">+DATE(C110,B110,1)</f>
        <v>45931</v>
      </c>
      <c r="B110" s="1">
        <f t="shared" si="4"/>
        <v>10</v>
      </c>
      <c r="C110" s="1">
        <f t="shared" ref="C110" si="97">+IF(B110=1,C109+1,C109)</f>
        <v>2025</v>
      </c>
      <c r="D110" s="10">
        <f>+'Indice PondENGHO'!D108/'Indice PondENGHO'!D96-1</f>
        <v>0.28226511603751625</v>
      </c>
      <c r="E110" s="3">
        <f>+'Indice PondENGHO'!E108/'Indice PondENGHO'!E96-1</f>
        <v>0.27969684220042801</v>
      </c>
      <c r="F110" s="3">
        <f>+'Indice PondENGHO'!F108/'Indice PondENGHO'!F96-1</f>
        <v>0.17966672981225518</v>
      </c>
      <c r="G110" s="3">
        <f>+'Indice PondENGHO'!G108/'Indice PondENGHO'!G96-1</f>
        <v>0.4477146660431186</v>
      </c>
      <c r="H110" s="3">
        <f>+'Indice PondENGHO'!H108/'Indice PondENGHO'!H96-1</f>
        <v>0.17768179260793926</v>
      </c>
      <c r="I110" s="3">
        <f>+'Indice PondENGHO'!I108/'Indice PondENGHO'!I96-1</f>
        <v>0.28559503847982648</v>
      </c>
      <c r="J110" s="3">
        <f>+'Indice PondENGHO'!J108/'Indice PondENGHO'!J96-1</f>
        <v>0.30051322933989799</v>
      </c>
      <c r="K110" s="3">
        <f>+'Indice PondENGHO'!K108/'Indice PondENGHO'!K96-1</f>
        <v>0.35396873466011947</v>
      </c>
      <c r="L110" s="3">
        <f>+'Indice PondENGHO'!L108/'Indice PondENGHO'!L96-1</f>
        <v>0.31386686165201771</v>
      </c>
      <c r="M110" s="3">
        <f>+'Indice PondENGHO'!M108/'Indice PondENGHO'!M96-1</f>
        <v>0.60913588318232814</v>
      </c>
      <c r="N110" s="3">
        <f>+'Indice PondENGHO'!N108/'Indice PondENGHO'!N96-1</f>
        <v>0.46289079226906282</v>
      </c>
      <c r="O110" s="11">
        <f>+'Indice PondENGHO'!O108/'Indice PondENGHO'!O96-1</f>
        <v>0.30889772709548446</v>
      </c>
      <c r="P110" s="10">
        <f>+'Indice PondENGHO'!P108/'Indice PondENGHO'!P96-1</f>
        <v>0.28445790066395138</v>
      </c>
      <c r="Q110" s="3">
        <f>+'Indice PondENGHO'!Q108/'Indice PondENGHO'!Q96-1</f>
        <v>0.28264841425696696</v>
      </c>
      <c r="R110" s="3">
        <f>+'Indice PondENGHO'!R108/'Indice PondENGHO'!R96-1</f>
        <v>0.17668929639878028</v>
      </c>
      <c r="S110" s="3">
        <f>+'Indice PondENGHO'!S108/'Indice PondENGHO'!S96-1</f>
        <v>0.45385457431474685</v>
      </c>
      <c r="T110" s="3">
        <f>+'Indice PondENGHO'!T108/'Indice PondENGHO'!T96-1</f>
        <v>0.18171626449221767</v>
      </c>
      <c r="U110" s="3">
        <f>+'Indice PondENGHO'!U108/'Indice PondENGHO'!U96-1</f>
        <v>0.2861172859291119</v>
      </c>
      <c r="V110" s="3">
        <f>+'Indice PondENGHO'!V108/'Indice PondENGHO'!V96-1</f>
        <v>0.30038714850252135</v>
      </c>
      <c r="W110" s="3">
        <f>+'Indice PondENGHO'!W108/'Indice PondENGHO'!W96-1</f>
        <v>0.3559208835514609</v>
      </c>
      <c r="X110" s="3">
        <f>+'Indice PondENGHO'!X108/'Indice PondENGHO'!X96-1</f>
        <v>0.31532793615017862</v>
      </c>
      <c r="Y110" s="3">
        <f>+'Indice PondENGHO'!Y108/'Indice PondENGHO'!Y96-1</f>
        <v>0.56694506555388724</v>
      </c>
      <c r="Z110" s="3">
        <f>+'Indice PondENGHO'!Z108/'Indice PondENGHO'!Z96-1</f>
        <v>0.45902303886468454</v>
      </c>
      <c r="AA110" s="11">
        <f>+'Indice PondENGHO'!AA108/'Indice PondENGHO'!AA96-1</f>
        <v>0.31675086467431135</v>
      </c>
      <c r="AB110" s="10">
        <f>+'Indice PondENGHO'!AB108/'Indice PondENGHO'!AB96-1</f>
        <v>0.28542279829832573</v>
      </c>
      <c r="AC110" s="3">
        <f>+'Indice PondENGHO'!AC108/'Indice PondENGHO'!AC96-1</f>
        <v>0.28351016613890323</v>
      </c>
      <c r="AD110" s="3">
        <f>+'Indice PondENGHO'!AD108/'Indice PondENGHO'!AD96-1</f>
        <v>0.17486868514805765</v>
      </c>
      <c r="AE110" s="3">
        <f>+'Indice PondENGHO'!AE108/'Indice PondENGHO'!AE96-1</f>
        <v>0.46182522273823312</v>
      </c>
      <c r="AF110" s="3">
        <f>+'Indice PondENGHO'!AF108/'Indice PondENGHO'!AF96-1</f>
        <v>0.18473444744746059</v>
      </c>
      <c r="AG110" s="3">
        <f>+'Indice PondENGHO'!AG108/'Indice PondENGHO'!AG96-1</f>
        <v>0.28765898307068793</v>
      </c>
      <c r="AH110" s="3">
        <f>+'Indice PondENGHO'!AH108/'Indice PondENGHO'!AH96-1</f>
        <v>0.29892791762316651</v>
      </c>
      <c r="AI110" s="3">
        <f>+'Indice PondENGHO'!AI108/'Indice PondENGHO'!AI96-1</f>
        <v>0.35662508986239794</v>
      </c>
      <c r="AJ110" s="3">
        <f>+'Indice PondENGHO'!AJ108/'Indice PondENGHO'!AJ96-1</f>
        <v>0.31611757329364543</v>
      </c>
      <c r="AK110" s="3">
        <f>+'Indice PondENGHO'!AK108/'Indice PondENGHO'!AK96-1</f>
        <v>0.56097700234328185</v>
      </c>
      <c r="AL110" s="3">
        <f>+'Indice PondENGHO'!AL108/'Indice PondENGHO'!AL96-1</f>
        <v>0.45767276503273036</v>
      </c>
      <c r="AM110" s="11">
        <f>+'Indice PondENGHO'!AM108/'Indice PondENGHO'!AM96-1</f>
        <v>0.31992994879790837</v>
      </c>
      <c r="AN110" s="10">
        <f>+'Indice PondENGHO'!AN108/'Indice PondENGHO'!AN96-1</f>
        <v>0.28613674661997424</v>
      </c>
      <c r="AO110" s="3">
        <f>+'Indice PondENGHO'!AO108/'Indice PondENGHO'!AO96-1</f>
        <v>0.28509014033656155</v>
      </c>
      <c r="AP110" s="3">
        <f>+'Indice PondENGHO'!AP108/'Indice PondENGHO'!AP96-1</f>
        <v>0.17550679933347157</v>
      </c>
      <c r="AQ110" s="3">
        <f>+'Indice PondENGHO'!AQ108/'Indice PondENGHO'!AQ96-1</f>
        <v>0.46706608804620764</v>
      </c>
      <c r="AR110" s="3">
        <f>+'Indice PondENGHO'!AR108/'Indice PondENGHO'!AR96-1</f>
        <v>0.18551034574645819</v>
      </c>
      <c r="AS110" s="3">
        <f>+'Indice PondENGHO'!AS108/'Indice PondENGHO'!AS96-1</f>
        <v>0.28925776541114834</v>
      </c>
      <c r="AT110" s="3">
        <f>+'Indice PondENGHO'!AT108/'Indice PondENGHO'!AT96-1</f>
        <v>0.30191909465312095</v>
      </c>
      <c r="AU110" s="3">
        <f>+'Indice PondENGHO'!AU108/'Indice PondENGHO'!AU96-1</f>
        <v>0.35729684115155225</v>
      </c>
      <c r="AV110" s="3">
        <f>+'Indice PondENGHO'!AV108/'Indice PondENGHO'!AV96-1</f>
        <v>0.31421080169300675</v>
      </c>
      <c r="AW110" s="3">
        <f>+'Indice PondENGHO'!AW108/'Indice PondENGHO'!AW96-1</f>
        <v>0.56602190439258981</v>
      </c>
      <c r="AX110" s="3">
        <f>+'Indice PondENGHO'!AX108/'Indice PondENGHO'!AX96-1</f>
        <v>0.45682473621801667</v>
      </c>
      <c r="AY110" s="11">
        <f>+'Indice PondENGHO'!AY108/'Indice PondENGHO'!AY96-1</f>
        <v>0.32254221102542635</v>
      </c>
      <c r="AZ110" s="10">
        <f>+'Indice PondENGHO'!AZ108/'Indice PondENGHO'!AZ96-1</f>
        <v>0.28796901183149748</v>
      </c>
      <c r="BA110" s="3">
        <f>+'Indice PondENGHO'!BA108/'Indice PondENGHO'!BA96-1</f>
        <v>0.28720827775560087</v>
      </c>
      <c r="BB110" s="3">
        <f>+'Indice PondENGHO'!BB108/'Indice PondENGHO'!BB96-1</f>
        <v>0.1750907066346814</v>
      </c>
      <c r="BC110" s="3">
        <f>+'Indice PondENGHO'!BC108/'Indice PondENGHO'!BC96-1</f>
        <v>0.46923949763732775</v>
      </c>
      <c r="BD110" s="3">
        <f>+'Indice PondENGHO'!BD108/'Indice PondENGHO'!BD96-1</f>
        <v>0.18791673919220986</v>
      </c>
      <c r="BE110" s="3">
        <f>+'Indice PondENGHO'!BE108/'Indice PondENGHO'!BE96-1</f>
        <v>0.29106178564848828</v>
      </c>
      <c r="BF110" s="3">
        <f>+'Indice PondENGHO'!BF108/'Indice PondENGHO'!BF96-1</f>
        <v>0.30473954934250802</v>
      </c>
      <c r="BG110" s="3">
        <f>+'Indice PondENGHO'!BG108/'Indice PondENGHO'!BG96-1</f>
        <v>0.35957630608675806</v>
      </c>
      <c r="BH110" s="3">
        <f>+'Indice PondENGHO'!BH108/'Indice PondENGHO'!BH96-1</f>
        <v>0.31293221308222541</v>
      </c>
      <c r="BI110" s="3">
        <f>+'Indice PondENGHO'!BI108/'Indice PondENGHO'!BI96-1</f>
        <v>0.53227317875060032</v>
      </c>
      <c r="BJ110" s="3">
        <f>+'Indice PondENGHO'!BJ108/'Indice PondENGHO'!BJ96-1</f>
        <v>0.45449946238268546</v>
      </c>
      <c r="BK110" s="11">
        <f>+'Indice PondENGHO'!BK108/'Indice PondENGHO'!BK96-1</f>
        <v>0.32983413233882164</v>
      </c>
      <c r="BL110" s="3">
        <f>+'Indice PondENGHO'!BL108/'Indice PondENGHO'!BL96-1</f>
        <v>0.30211546430792136</v>
      </c>
      <c r="BM110" s="3">
        <f>+'Indice PondENGHO'!BM108/'Indice PondENGHO'!BM96-1</f>
        <v>0.30880360279903329</v>
      </c>
      <c r="BN110" s="3">
        <f>+'Indice PondENGHO'!BN108/'Indice PondENGHO'!BN96-1</f>
        <v>0.31194284559353935</v>
      </c>
      <c r="BO110" s="3">
        <f>+'Indice PondENGHO'!BO108/'Indice PondENGHO'!BO96-1</f>
        <v>0.31527743050787871</v>
      </c>
      <c r="BP110" s="3">
        <f>+'Indice PondENGHO'!BP108/'Indice PondENGHO'!BP96-1</f>
        <v>0.32068393519294669</v>
      </c>
      <c r="BQ110" s="10">
        <f>+'Indice PondENGHO'!BQ108/'Indice PondENGHO'!BQ96-1</f>
        <v>0.28540401607103649</v>
      </c>
      <c r="BR110" s="3">
        <f>+'Indice PondENGHO'!BR108/'Indice PondENGHO'!BR96-1</f>
        <v>0.2842886869746164</v>
      </c>
      <c r="BS110" s="3">
        <f>+'Indice PondENGHO'!BS108/'Indice PondENGHO'!BS96-1</f>
        <v>0.17602839925408165</v>
      </c>
      <c r="BT110" s="3">
        <f>+'Indice PondENGHO'!BT108/'Indice PondENGHO'!BT96-1</f>
        <v>0.46235738899926115</v>
      </c>
      <c r="BU110" s="3">
        <f>+'Indice PondENGHO'!BU108/'Indice PondENGHO'!BU96-1</f>
        <v>0.18521698056330416</v>
      </c>
      <c r="BV110" s="3">
        <f>+'Indice PondENGHO'!BV108/'Indice PondENGHO'!BV96-1</f>
        <v>0.28906235997803642</v>
      </c>
      <c r="BW110" s="3">
        <f>+'Indice PondENGHO'!BW108/'Indice PondENGHO'!BW96-1</f>
        <v>0.30209411042686729</v>
      </c>
      <c r="BX110" s="3">
        <f>+'Indice PondENGHO'!BX108/'Indice PondENGHO'!BX96-1</f>
        <v>0.35720699144083823</v>
      </c>
      <c r="BY110" s="3">
        <f>+'Indice PondENGHO'!BY108/'Indice PondENGHO'!BY96-1</f>
        <v>0.31416472676414631</v>
      </c>
      <c r="BZ110" s="3">
        <f>+'Indice PondENGHO'!BZ108/'Indice PondENGHO'!BZ96-1</f>
        <v>0.55421523893784475</v>
      </c>
      <c r="CA110" s="3">
        <f>+'Indice PondENGHO'!CA108/'Indice PondENGHO'!CA96-1</f>
        <v>0.45677066857323623</v>
      </c>
      <c r="CB110" s="11">
        <f>+'Indice PondENGHO'!CB108/'Indice PondENGHO'!CB96-1</f>
        <v>0.32264089346972913</v>
      </c>
      <c r="CC110" s="3">
        <f>+'Indice PondENGHO'!CC108/'Indice PondENGHO'!CC96-1</f>
        <v>0.31380716023854571</v>
      </c>
      <c r="CD110" s="3">
        <f>+'Indice PondENGHO'!CD108/'Indice PondENGHO'!CD96-1</f>
        <v>0.31380707261552887</v>
      </c>
      <c r="CF110" s="3">
        <f t="shared" ref="CF110" si="98">+BL110-BP110</f>
        <v>-1.8568470885025334E-2</v>
      </c>
    </row>
    <row r="111" spans="1:84" x14ac:dyDescent="0.25">
      <c r="A111" s="2">
        <f t="shared" ref="A111" si="99">+DATE(C111,B111,1)</f>
        <v>45962</v>
      </c>
      <c r="B111" s="1">
        <f t="shared" si="4"/>
        <v>11</v>
      </c>
      <c r="C111" s="1">
        <f t="shared" ref="C111" si="100">+IF(B111=1,C110+1,C110)</f>
        <v>2025</v>
      </c>
      <c r="D111" s="10">
        <f>+'Indice PondENGHO'!D109/'Indice PondENGHO'!D97-1</f>
        <v>0.31026816839413907</v>
      </c>
      <c r="E111" s="3">
        <f>+'Indice PondENGHO'!E109/'Indice PondENGHO'!E97-1</f>
        <v>0.24430326867777374</v>
      </c>
      <c r="F111" s="3">
        <f>+'Indice PondENGHO'!F109/'Indice PondENGHO'!F97-1</f>
        <v>0.16406538076502031</v>
      </c>
      <c r="G111" s="3">
        <f>+'Indice PondENGHO'!G109/'Indice PondENGHO'!G97-1</f>
        <v>0.43680057579198328</v>
      </c>
      <c r="H111" s="3">
        <f>+'Indice PondENGHO'!H109/'Indice PondENGHO'!H97-1</f>
        <v>0.17288498992752843</v>
      </c>
      <c r="I111" s="3">
        <f>+'Indice PondENGHO'!I109/'Indice PondENGHO'!I97-1</f>
        <v>0.27989235451890693</v>
      </c>
      <c r="J111" s="3">
        <f>+'Indice PondENGHO'!J109/'Indice PondENGHO'!J97-1</f>
        <v>0.29919550393793393</v>
      </c>
      <c r="K111" s="3">
        <f>+'Indice PondENGHO'!K109/'Indice PondENGHO'!K97-1</f>
        <v>0.36751722977347834</v>
      </c>
      <c r="L111" s="3">
        <f>+'Indice PondENGHO'!L109/'Indice PondENGHO'!L97-1</f>
        <v>0.30114889340171613</v>
      </c>
      <c r="M111" s="3">
        <f>+'Indice PondENGHO'!M109/'Indice PondENGHO'!M97-1</f>
        <v>0.5675483201981677</v>
      </c>
      <c r="N111" s="3">
        <f>+'Indice PondENGHO'!N109/'Indice PondENGHO'!N97-1</f>
        <v>0.43979709782635967</v>
      </c>
      <c r="O111" s="11">
        <f>+'Indice PondENGHO'!O109/'Indice PondENGHO'!O97-1</f>
        <v>0.311952560448016</v>
      </c>
      <c r="P111" s="10">
        <f>+'Indice PondENGHO'!P109/'Indice PondENGHO'!P97-1</f>
        <v>0.31082538604247634</v>
      </c>
      <c r="Q111" s="3">
        <f>+'Indice PondENGHO'!Q109/'Indice PondENGHO'!Q97-1</f>
        <v>0.24761171257846559</v>
      </c>
      <c r="R111" s="3">
        <f>+'Indice PondENGHO'!R109/'Indice PondENGHO'!R97-1</f>
        <v>0.16151072367141195</v>
      </c>
      <c r="S111" s="3">
        <f>+'Indice PondENGHO'!S109/'Indice PondENGHO'!S97-1</f>
        <v>0.44095839400314429</v>
      </c>
      <c r="T111" s="3">
        <f>+'Indice PondENGHO'!T109/'Indice PondENGHO'!T97-1</f>
        <v>0.17727808546671264</v>
      </c>
      <c r="U111" s="3">
        <f>+'Indice PondENGHO'!U109/'Indice PondENGHO'!U97-1</f>
        <v>0.28017092810444666</v>
      </c>
      <c r="V111" s="3">
        <f>+'Indice PondENGHO'!V109/'Indice PondENGHO'!V97-1</f>
        <v>0.29821107910838118</v>
      </c>
      <c r="W111" s="3">
        <f>+'Indice PondENGHO'!W109/'Indice PondENGHO'!W97-1</f>
        <v>0.37035304277903203</v>
      </c>
      <c r="X111" s="3">
        <f>+'Indice PondENGHO'!X109/'Indice PondENGHO'!X97-1</f>
        <v>0.30520323971354868</v>
      </c>
      <c r="Y111" s="3">
        <f>+'Indice PondENGHO'!Y109/'Indice PondENGHO'!Y97-1</f>
        <v>0.53023471375670361</v>
      </c>
      <c r="Z111" s="3">
        <f>+'Indice PondENGHO'!Z109/'Indice PondENGHO'!Z97-1</f>
        <v>0.4390689012773259</v>
      </c>
      <c r="AA111" s="11">
        <f>+'Indice PondENGHO'!AA109/'Indice PondENGHO'!AA97-1</f>
        <v>0.31981205286706005</v>
      </c>
      <c r="AB111" s="10">
        <f>+'Indice PondENGHO'!AB109/'Indice PondENGHO'!AB97-1</f>
        <v>0.31035022789106348</v>
      </c>
      <c r="AC111" s="3">
        <f>+'Indice PondENGHO'!AC109/'Indice PondENGHO'!AC97-1</f>
        <v>0.24849115591737436</v>
      </c>
      <c r="AD111" s="3">
        <f>+'Indice PondENGHO'!AD109/'Indice PondENGHO'!AD97-1</f>
        <v>0.16003587034280709</v>
      </c>
      <c r="AE111" s="3">
        <f>+'Indice PondENGHO'!AE109/'Indice PondENGHO'!AE97-1</f>
        <v>0.4473948390176834</v>
      </c>
      <c r="AF111" s="3">
        <f>+'Indice PondENGHO'!AF109/'Indice PondENGHO'!AF97-1</f>
        <v>0.18017120560371525</v>
      </c>
      <c r="AG111" s="3">
        <f>+'Indice PondENGHO'!AG109/'Indice PondENGHO'!AG97-1</f>
        <v>0.28151737917577968</v>
      </c>
      <c r="AH111" s="3">
        <f>+'Indice PondENGHO'!AH109/'Indice PondENGHO'!AH97-1</f>
        <v>0.29691655357515412</v>
      </c>
      <c r="AI111" s="3">
        <f>+'Indice PondENGHO'!AI109/'Indice PondENGHO'!AI97-1</f>
        <v>0.37167223527670212</v>
      </c>
      <c r="AJ111" s="3">
        <f>+'Indice PondENGHO'!AJ109/'Indice PondENGHO'!AJ97-1</f>
        <v>0.30749307659591807</v>
      </c>
      <c r="AK111" s="3">
        <f>+'Indice PondENGHO'!AK109/'Indice PondENGHO'!AK97-1</f>
        <v>0.52469933812442049</v>
      </c>
      <c r="AL111" s="3">
        <f>+'Indice PondENGHO'!AL109/'Indice PondENGHO'!AL97-1</f>
        <v>0.44049250856199618</v>
      </c>
      <c r="AM111" s="11">
        <f>+'Indice PondENGHO'!AM109/'Indice PondENGHO'!AM97-1</f>
        <v>0.3229145778369209</v>
      </c>
      <c r="AN111" s="10">
        <f>+'Indice PondENGHO'!AN109/'Indice PondENGHO'!AN97-1</f>
        <v>0.30972740736032578</v>
      </c>
      <c r="AO111" s="3">
        <f>+'Indice PondENGHO'!AO109/'Indice PondENGHO'!AO97-1</f>
        <v>0.25006331039500251</v>
      </c>
      <c r="AP111" s="3">
        <f>+'Indice PondENGHO'!AP109/'Indice PondENGHO'!AP97-1</f>
        <v>0.15978372602029367</v>
      </c>
      <c r="AQ111" s="3">
        <f>+'Indice PondENGHO'!AQ109/'Indice PondENGHO'!AQ97-1</f>
        <v>0.45110726735514839</v>
      </c>
      <c r="AR111" s="3">
        <f>+'Indice PondENGHO'!AR109/'Indice PondENGHO'!AR97-1</f>
        <v>0.18116146739965244</v>
      </c>
      <c r="AS111" s="3">
        <f>+'Indice PondENGHO'!AS109/'Indice PondENGHO'!AS97-1</f>
        <v>0.28255596226492385</v>
      </c>
      <c r="AT111" s="3">
        <f>+'Indice PondENGHO'!AT109/'Indice PondENGHO'!AT97-1</f>
        <v>0.29794984665264068</v>
      </c>
      <c r="AU111" s="3">
        <f>+'Indice PondENGHO'!AU109/'Indice PondENGHO'!AU97-1</f>
        <v>0.37244975124378099</v>
      </c>
      <c r="AV111" s="3">
        <f>+'Indice PondENGHO'!AV109/'Indice PondENGHO'!AV97-1</f>
        <v>0.30728147358788993</v>
      </c>
      <c r="AW111" s="3">
        <f>+'Indice PondENGHO'!AW109/'Indice PondENGHO'!AW97-1</f>
        <v>0.5291168427619688</v>
      </c>
      <c r="AX111" s="3">
        <f>+'Indice PondENGHO'!AX109/'Indice PondENGHO'!AX97-1</f>
        <v>0.44117276768863367</v>
      </c>
      <c r="AY111" s="11">
        <f>+'Indice PondENGHO'!AY109/'Indice PondENGHO'!AY97-1</f>
        <v>0.32554753904258349</v>
      </c>
      <c r="AZ111" s="10">
        <f>+'Indice PondENGHO'!AZ109/'Indice PondENGHO'!AZ97-1</f>
        <v>0.31011836714449892</v>
      </c>
      <c r="BA111" s="3">
        <f>+'Indice PondENGHO'!BA109/'Indice PondENGHO'!BA97-1</f>
        <v>0.25233938040533355</v>
      </c>
      <c r="BB111" s="3">
        <f>+'Indice PondENGHO'!BB109/'Indice PondENGHO'!BB97-1</f>
        <v>0.15872714373918262</v>
      </c>
      <c r="BC111" s="3">
        <f>+'Indice PondENGHO'!BC109/'Indice PondENGHO'!BC97-1</f>
        <v>0.45133605686458966</v>
      </c>
      <c r="BD111" s="3">
        <f>+'Indice PondENGHO'!BD109/'Indice PondENGHO'!BD97-1</f>
        <v>0.18432830331259131</v>
      </c>
      <c r="BE111" s="3">
        <f>+'Indice PondENGHO'!BE109/'Indice PondENGHO'!BE97-1</f>
        <v>0.28380201157840279</v>
      </c>
      <c r="BF111" s="3">
        <f>+'Indice PondENGHO'!BF109/'Indice PondENGHO'!BF97-1</f>
        <v>0.29885572040736741</v>
      </c>
      <c r="BG111" s="3">
        <f>+'Indice PondENGHO'!BG109/'Indice PondENGHO'!BG97-1</f>
        <v>0.37535738579267885</v>
      </c>
      <c r="BH111" s="3">
        <f>+'Indice PondENGHO'!BH109/'Indice PondENGHO'!BH97-1</f>
        <v>0.30835870736513638</v>
      </c>
      <c r="BI111" s="3">
        <f>+'Indice PondENGHO'!BI109/'Indice PondENGHO'!BI97-1</f>
        <v>0.50218132562894668</v>
      </c>
      <c r="BJ111" s="3">
        <f>+'Indice PondENGHO'!BJ109/'Indice PondENGHO'!BJ97-1</f>
        <v>0.44101950011374513</v>
      </c>
      <c r="BK111" s="11">
        <f>+'Indice PondENGHO'!BK109/'Indice PondENGHO'!BK97-1</f>
        <v>0.33243617137986115</v>
      </c>
      <c r="BL111" s="3">
        <f>+'Indice PondENGHO'!BL109/'Indice PondENGHO'!BL97-1</f>
        <v>0.30805659820114273</v>
      </c>
      <c r="BM111" s="3">
        <f>+'Indice PondENGHO'!BM109/'Indice PondENGHO'!BM97-1</f>
        <v>0.31175939596295943</v>
      </c>
      <c r="BN111" s="3">
        <f>+'Indice PondENGHO'!BN109/'Indice PondENGHO'!BN97-1</f>
        <v>0.31384083996810652</v>
      </c>
      <c r="BO111" s="3">
        <f>+'Indice PondENGHO'!BO109/'Indice PondENGHO'!BO97-1</f>
        <v>0.3150278754294058</v>
      </c>
      <c r="BP111" s="3">
        <f>+'Indice PondENGHO'!BP109/'Indice PondENGHO'!BP97-1</f>
        <v>0.31798296039608731</v>
      </c>
      <c r="BQ111" s="10">
        <f>+'Indice PondENGHO'!BQ109/'Indice PondENGHO'!BQ97-1</f>
        <v>0.31024173061645133</v>
      </c>
      <c r="BR111" s="3">
        <f>+'Indice PondENGHO'!BR109/'Indice PondENGHO'!BR97-1</f>
        <v>0.24926034544440756</v>
      </c>
      <c r="BS111" s="3">
        <f>+'Indice PondENGHO'!BS109/'Indice PondENGHO'!BS97-1</f>
        <v>0.16039144052893461</v>
      </c>
      <c r="BT111" s="3">
        <f>+'Indice PondENGHO'!BT109/'Indice PondENGHO'!BT97-1</f>
        <v>0.44715825937420384</v>
      </c>
      <c r="BU111" s="3">
        <f>+'Indice PondENGHO'!BU109/'Indice PondENGHO'!BU97-1</f>
        <v>0.18109960942682335</v>
      </c>
      <c r="BV111" s="3">
        <f>+'Indice PondENGHO'!BV109/'Indice PondENGHO'!BV97-1</f>
        <v>0.28239774929331873</v>
      </c>
      <c r="BW111" s="3">
        <f>+'Indice PondENGHO'!BW109/'Indice PondENGHO'!BW97-1</f>
        <v>0.29824986323896474</v>
      </c>
      <c r="BX111" s="3">
        <f>+'Indice PondENGHO'!BX109/'Indice PondENGHO'!BX97-1</f>
        <v>0.3722128510586451</v>
      </c>
      <c r="BY111" s="3">
        <f>+'Indice PondENGHO'!BY109/'Indice PondENGHO'!BY97-1</f>
        <v>0.30678121653491353</v>
      </c>
      <c r="BZ111" s="3">
        <f>+'Indice PondENGHO'!BZ109/'Indice PondENGHO'!BZ97-1</f>
        <v>0.51993064285719592</v>
      </c>
      <c r="CA111" s="3">
        <f>+'Indice PondENGHO'!CA109/'Indice PondENGHO'!CA97-1</f>
        <v>0.44062956697675526</v>
      </c>
      <c r="CB111" s="11">
        <f>+'Indice PondENGHO'!CB109/'Indice PondENGHO'!CB97-1</f>
        <v>0.32550869728276588</v>
      </c>
      <c r="CC111" s="3">
        <f>+'Indice PondENGHO'!CC109/'Indice PondENGHO'!CC97-1</f>
        <v>0.3144126654636008</v>
      </c>
      <c r="CD111" s="3">
        <f>+'Indice PondENGHO'!CD109/'Indice PondENGHO'!CD97-1</f>
        <v>0.3144126654636008</v>
      </c>
      <c r="CF111" s="3">
        <f t="shared" ref="CF111" si="101">+BL111-BP111</f>
        <v>-9.9263621949445824E-3</v>
      </c>
    </row>
    <row r="112" spans="1:84" x14ac:dyDescent="0.25">
      <c r="A112" s="2">
        <f t="shared" ref="A112" si="102">+DATE(C112,B112,1)</f>
        <v>45992</v>
      </c>
      <c r="B112" s="1">
        <f t="shared" si="4"/>
        <v>12</v>
      </c>
      <c r="C112" s="1">
        <f t="shared" ref="C112" si="103">+IF(B112=1,C111+1,C111)</f>
        <v>2025</v>
      </c>
      <c r="D112" s="10">
        <f>+'Indice PondENGHO'!D110/'Indice PondENGHO'!D98-1</f>
        <v>0.32437012821694555</v>
      </c>
      <c r="E112" s="3">
        <f>+'Indice PondENGHO'!E110/'Indice PondENGHO'!E98-1</f>
        <v>0.24791725154035538</v>
      </c>
      <c r="F112" s="3">
        <f>+'Indice PondENGHO'!F110/'Indice PondENGHO'!F98-1</f>
        <v>0.15634046690521752</v>
      </c>
      <c r="G112" s="3">
        <f>+'Indice PondENGHO'!G110/'Indice PondENGHO'!G98-1</f>
        <v>0.41432525464592973</v>
      </c>
      <c r="H112" s="3">
        <f>+'Indice PondENGHO'!H110/'Indice PondENGHO'!H98-1</f>
        <v>0.18329469364969908</v>
      </c>
      <c r="I112" s="3">
        <f>+'Indice PondENGHO'!I110/'Indice PondENGHO'!I98-1</f>
        <v>0.28011416450110294</v>
      </c>
      <c r="J112" s="3">
        <f>+'Indice PondENGHO'!J110/'Indice PondENGHO'!J98-1</f>
        <v>0.31613301218378531</v>
      </c>
      <c r="K112" s="3">
        <f>+'Indice PondENGHO'!K110/'Indice PondENGHO'!K98-1</f>
        <v>0.34255040701759376</v>
      </c>
      <c r="L112" s="3">
        <f>+'Indice PondENGHO'!L110/'Indice PondENGHO'!L98-1</f>
        <v>0.29969248992755948</v>
      </c>
      <c r="M112" s="3">
        <f>+'Indice PondENGHO'!M110/'Indice PondENGHO'!M98-1</f>
        <v>0.53737151461332</v>
      </c>
      <c r="N112" s="3">
        <f>+'Indice PondENGHO'!N110/'Indice PondENGHO'!N98-1</f>
        <v>0.42149359928690577</v>
      </c>
      <c r="O112" s="11">
        <f>+'Indice PondENGHO'!O110/'Indice PondENGHO'!O98-1</f>
        <v>0.31727591587748538</v>
      </c>
      <c r="P112" s="10">
        <f>+'Indice PondENGHO'!P110/'Indice PondENGHO'!P98-1</f>
        <v>0.32373053052393574</v>
      </c>
      <c r="Q112" s="3">
        <f>+'Indice PondENGHO'!Q110/'Indice PondENGHO'!Q98-1</f>
        <v>0.25147758652803653</v>
      </c>
      <c r="R112" s="3">
        <f>+'Indice PondENGHO'!R110/'Indice PondENGHO'!R98-1</f>
        <v>0.15498740409885281</v>
      </c>
      <c r="S112" s="3">
        <f>+'Indice PondENGHO'!S110/'Indice PondENGHO'!S98-1</f>
        <v>0.41667025155532333</v>
      </c>
      <c r="T112" s="3">
        <f>+'Indice PondENGHO'!T110/'Indice PondENGHO'!T98-1</f>
        <v>0.18901485861975065</v>
      </c>
      <c r="U112" s="3">
        <f>+'Indice PondENGHO'!U110/'Indice PondENGHO'!U98-1</f>
        <v>0.28033929930116641</v>
      </c>
      <c r="V112" s="3">
        <f>+'Indice PondENGHO'!V110/'Indice PondENGHO'!V98-1</f>
        <v>0.31784382137830369</v>
      </c>
      <c r="W112" s="3">
        <f>+'Indice PondENGHO'!W110/'Indice PondENGHO'!W98-1</f>
        <v>0.34683024599947876</v>
      </c>
      <c r="X112" s="3">
        <f>+'Indice PondENGHO'!X110/'Indice PondENGHO'!X98-1</f>
        <v>0.30415980152416355</v>
      </c>
      <c r="Y112" s="3">
        <f>+'Indice PondENGHO'!Y110/'Indice PondENGHO'!Y98-1</f>
        <v>0.50006270903180594</v>
      </c>
      <c r="Z112" s="3">
        <f>+'Indice PondENGHO'!Z110/'Indice PondENGHO'!Z98-1</f>
        <v>0.42042382501605591</v>
      </c>
      <c r="AA112" s="11">
        <f>+'Indice PondENGHO'!AA110/'Indice PondENGHO'!AA98-1</f>
        <v>0.32597232101518148</v>
      </c>
      <c r="AB112" s="10">
        <f>+'Indice PondENGHO'!AB110/'Indice PondENGHO'!AB98-1</f>
        <v>0.32265817310490763</v>
      </c>
      <c r="AC112" s="3">
        <f>+'Indice PondENGHO'!AC110/'Indice PondENGHO'!AC98-1</f>
        <v>0.25243626661859131</v>
      </c>
      <c r="AD112" s="3">
        <f>+'Indice PondENGHO'!AD110/'Indice PondENGHO'!AD98-1</f>
        <v>0.15404817821294947</v>
      </c>
      <c r="AE112" s="3">
        <f>+'Indice PondENGHO'!AE110/'Indice PondENGHO'!AE98-1</f>
        <v>0.4212780114018313</v>
      </c>
      <c r="AF112" s="3">
        <f>+'Indice PondENGHO'!AF110/'Indice PondENGHO'!AF98-1</f>
        <v>0.19185990315849688</v>
      </c>
      <c r="AG112" s="3">
        <f>+'Indice PondENGHO'!AG110/'Indice PondENGHO'!AG98-1</f>
        <v>0.28150295393402169</v>
      </c>
      <c r="AH112" s="3">
        <f>+'Indice PondENGHO'!AH110/'Indice PondENGHO'!AH98-1</f>
        <v>0.31785065578031024</v>
      </c>
      <c r="AI112" s="3">
        <f>+'Indice PondENGHO'!AI110/'Indice PondENGHO'!AI98-1</f>
        <v>0.34884887884390925</v>
      </c>
      <c r="AJ112" s="3">
        <f>+'Indice PondENGHO'!AJ110/'Indice PondENGHO'!AJ98-1</f>
        <v>0.30703446630079667</v>
      </c>
      <c r="AK112" s="3">
        <f>+'Indice PondENGHO'!AK110/'Indice PondENGHO'!AK98-1</f>
        <v>0.49458776375026536</v>
      </c>
      <c r="AL112" s="3">
        <f>+'Indice PondENGHO'!AL110/'Indice PondENGHO'!AL98-1</f>
        <v>0.42117344115156485</v>
      </c>
      <c r="AM112" s="11">
        <f>+'Indice PondENGHO'!AM110/'Indice PondENGHO'!AM98-1</f>
        <v>0.32928350177211896</v>
      </c>
      <c r="AN112" s="10">
        <f>+'Indice PondENGHO'!AN110/'Indice PondENGHO'!AN98-1</f>
        <v>0.32160690806150005</v>
      </c>
      <c r="AO112" s="3">
        <f>+'Indice PondENGHO'!AO110/'Indice PondENGHO'!AO98-1</f>
        <v>0.25373881398508202</v>
      </c>
      <c r="AP112" s="3">
        <f>+'Indice PondENGHO'!AP110/'Indice PondENGHO'!AP98-1</f>
        <v>0.15397852892270358</v>
      </c>
      <c r="AQ112" s="3">
        <f>+'Indice PondENGHO'!AQ110/'Indice PondENGHO'!AQ98-1</f>
        <v>0.42478955075911529</v>
      </c>
      <c r="AR112" s="3">
        <f>+'Indice PondENGHO'!AR110/'Indice PondENGHO'!AR98-1</f>
        <v>0.19278522313878943</v>
      </c>
      <c r="AS112" s="3">
        <f>+'Indice PondENGHO'!AS110/'Indice PondENGHO'!AS98-1</f>
        <v>0.28239487207212322</v>
      </c>
      <c r="AT112" s="3">
        <f>+'Indice PondENGHO'!AT110/'Indice PondENGHO'!AT98-1</f>
        <v>0.32083593346049</v>
      </c>
      <c r="AU112" s="3">
        <f>+'Indice PondENGHO'!AU110/'Indice PondENGHO'!AU98-1</f>
        <v>0.34982760954306902</v>
      </c>
      <c r="AV112" s="3">
        <f>+'Indice PondENGHO'!AV110/'Indice PondENGHO'!AV98-1</f>
        <v>0.30539709313585539</v>
      </c>
      <c r="AW112" s="3">
        <f>+'Indice PondENGHO'!AW110/'Indice PondENGHO'!AW98-1</f>
        <v>0.4997119524850675</v>
      </c>
      <c r="AX112" s="3">
        <f>+'Indice PondENGHO'!AX110/'Indice PondENGHO'!AX98-1</f>
        <v>0.42053895743121683</v>
      </c>
      <c r="AY112" s="11">
        <f>+'Indice PondENGHO'!AY110/'Indice PondENGHO'!AY98-1</f>
        <v>0.33252372012193043</v>
      </c>
      <c r="AZ112" s="10">
        <f>+'Indice PondENGHO'!AZ110/'Indice PondENGHO'!AZ98-1</f>
        <v>0.32093725649329241</v>
      </c>
      <c r="BA112" s="3">
        <f>+'Indice PondENGHO'!BA110/'Indice PondENGHO'!BA98-1</f>
        <v>0.25600391705221281</v>
      </c>
      <c r="BB112" s="3">
        <f>+'Indice PondENGHO'!BB110/'Indice PondENGHO'!BB98-1</f>
        <v>0.15334641680581651</v>
      </c>
      <c r="BC112" s="3">
        <f>+'Indice PondENGHO'!BC110/'Indice PondENGHO'!BC98-1</f>
        <v>0.42425748660240492</v>
      </c>
      <c r="BD112" s="3">
        <f>+'Indice PondENGHO'!BD110/'Indice PondENGHO'!BD98-1</f>
        <v>0.19713534936528232</v>
      </c>
      <c r="BE112" s="3">
        <f>+'Indice PondENGHO'!BE110/'Indice PondENGHO'!BE98-1</f>
        <v>0.28341882791712125</v>
      </c>
      <c r="BF112" s="3">
        <f>+'Indice PondENGHO'!BF110/'Indice PondENGHO'!BF98-1</f>
        <v>0.32377021512977522</v>
      </c>
      <c r="BG112" s="3">
        <f>+'Indice PondENGHO'!BG110/'Indice PondENGHO'!BG98-1</f>
        <v>0.3534481555688227</v>
      </c>
      <c r="BH112" s="3">
        <f>+'Indice PondENGHO'!BH110/'Indice PondENGHO'!BH98-1</f>
        <v>0.30410546291605023</v>
      </c>
      <c r="BI112" s="3">
        <f>+'Indice PondENGHO'!BI110/'Indice PondENGHO'!BI98-1</f>
        <v>0.47042464547811003</v>
      </c>
      <c r="BJ112" s="3">
        <f>+'Indice PondENGHO'!BJ110/'Indice PondENGHO'!BJ98-1</f>
        <v>0.41906545606923307</v>
      </c>
      <c r="BK112" s="11">
        <f>+'Indice PondENGHO'!BK110/'Indice PondENGHO'!BK98-1</f>
        <v>0.34102064895745077</v>
      </c>
      <c r="BL112" s="3">
        <f>+'Indice PondENGHO'!BL110/'Indice PondENGHO'!BL98-1</f>
        <v>0.31175964932757161</v>
      </c>
      <c r="BM112" s="3">
        <f>+'Indice PondENGHO'!BM110/'Indice PondENGHO'!BM98-1</f>
        <v>0.3144206668796381</v>
      </c>
      <c r="BN112" s="3">
        <f>+'Indice PondENGHO'!BN110/'Indice PondENGHO'!BN98-1</f>
        <v>0.31580889778602605</v>
      </c>
      <c r="BO112" s="3">
        <f>+'Indice PondENGHO'!BO110/'Indice PondENGHO'!BO98-1</f>
        <v>0.31680029430403711</v>
      </c>
      <c r="BP112" s="3">
        <f>+'Indice PondENGHO'!BP110/'Indice PondENGHO'!BP98-1</f>
        <v>0.3184564702955357</v>
      </c>
      <c r="BQ112" s="10">
        <f>+'Indice PondENGHO'!BQ110/'Indice PondENGHO'!BQ98-1</f>
        <v>0.32255415044421798</v>
      </c>
      <c r="BR112" s="3">
        <f>+'Indice PondENGHO'!BR110/'Indice PondENGHO'!BR98-1</f>
        <v>0.25300702509975692</v>
      </c>
      <c r="BS112" s="3">
        <f>+'Indice PondENGHO'!BS110/'Indice PondENGHO'!BS98-1</f>
        <v>0.1542963174421923</v>
      </c>
      <c r="BT112" s="3">
        <f>+'Indice PondENGHO'!BT110/'Indice PondENGHO'!BT98-1</f>
        <v>0.4214266894482912</v>
      </c>
      <c r="BU112" s="3">
        <f>+'Indice PondENGHO'!BU110/'Indice PondENGHO'!BU98-1</f>
        <v>0.19313008604258397</v>
      </c>
      <c r="BV112" s="3">
        <f>+'Indice PondENGHO'!BV110/'Indice PondENGHO'!BV98-1</f>
        <v>0.28224084533831273</v>
      </c>
      <c r="BW112" s="3">
        <f>+'Indice PondENGHO'!BW110/'Indice PondENGHO'!BW98-1</f>
        <v>0.32055572486327288</v>
      </c>
      <c r="BX112" s="3">
        <f>+'Indice PondENGHO'!BX110/'Indice PondENGHO'!BX98-1</f>
        <v>0.34933298674091384</v>
      </c>
      <c r="BY112" s="3">
        <f>+'Indice PondENGHO'!BY110/'Indice PondENGHO'!BY98-1</f>
        <v>0.30441142947453104</v>
      </c>
      <c r="BZ112" s="3">
        <f>+'Indice PondENGHO'!BZ110/'Indice PondENGHO'!BZ98-1</f>
        <v>0.48930573757820284</v>
      </c>
      <c r="CA112" s="3">
        <f>+'Indice PondENGHO'!CA110/'Indice PondENGHO'!CA98-1</f>
        <v>0.4201027865783411</v>
      </c>
      <c r="CB112" s="11">
        <f>+'Indice PondENGHO'!CB110/'Indice PondENGHO'!CB98-1</f>
        <v>0.3327014587854582</v>
      </c>
      <c r="CC112" s="3">
        <f>+'Indice PondENGHO'!CC110/'Indice PondENGHO'!CC98-1</f>
        <v>0.31617519088419743</v>
      </c>
      <c r="CD112" s="3">
        <f>+'Indice PondENGHO'!CD110/'Indice PondENGHO'!CD98-1</f>
        <v>0.31617519088419743</v>
      </c>
      <c r="CF112" s="3">
        <f t="shared" ref="CF112" si="104">+BL112-BP112</f>
        <v>-6.69682096796409E-3</v>
      </c>
    </row>
    <row r="113" spans="1:84" x14ac:dyDescent="0.25">
      <c r="A113" s="2">
        <f t="shared" ref="A113" si="105">+DATE(C113,B113,1)</f>
        <v>46023</v>
      </c>
      <c r="B113" s="1">
        <f t="shared" si="4"/>
        <v>1</v>
      </c>
      <c r="C113" s="1">
        <f t="shared" ref="C113" si="106">+IF(B113=1,C112+1,C112)</f>
        <v>2026</v>
      </c>
      <c r="D113" s="10">
        <f>+'Indice PondENGHO'!D111/'Indice PondENGHO'!D99-1</f>
        <v>0.35996699136974741</v>
      </c>
      <c r="E113" s="3">
        <f>+'Indice PondENGHO'!E111/'Indice PondENGHO'!E99-1</f>
        <v>0.23743679540088358</v>
      </c>
      <c r="F113" s="3">
        <f>+'Indice PondENGHO'!F111/'Indice PondENGHO'!F99-1</f>
        <v>0.15617681627920521</v>
      </c>
      <c r="G113" s="3">
        <f>+'Indice PondENGHO'!G111/'Indice PondENGHO'!G99-1</f>
        <v>0.40380261068855217</v>
      </c>
      <c r="H113" s="3">
        <f>+'Indice PondENGHO'!H111/'Indice PondENGHO'!H99-1</f>
        <v>0.18581746071802452</v>
      </c>
      <c r="I113" s="3">
        <f>+'Indice PondENGHO'!I111/'Indice PondENGHO'!I99-1</f>
        <v>0.28058132310285711</v>
      </c>
      <c r="J113" s="3">
        <f>+'Indice PondENGHO'!J111/'Indice PondENGHO'!J99-1</f>
        <v>0.3227809842883711</v>
      </c>
      <c r="K113" s="3">
        <f>+'Indice PondENGHO'!K111/'Indice PondENGHO'!K99-1</f>
        <v>0.359380877574909</v>
      </c>
      <c r="L113" s="3">
        <f>+'Indice PondENGHO'!L111/'Indice PondENGHO'!L99-1</f>
        <v>0.28453675071839069</v>
      </c>
      <c r="M113" s="3">
        <f>+'Indice PondENGHO'!M111/'Indice PondENGHO'!M99-1</f>
        <v>0.53648916657968115</v>
      </c>
      <c r="N113" s="3">
        <f>+'Indice PondENGHO'!N111/'Indice PondENGHO'!N99-1</f>
        <v>0.40258627423419924</v>
      </c>
      <c r="O113" s="11">
        <f>+'Indice PondENGHO'!O111/'Indice PondENGHO'!O99-1</f>
        <v>0.3222577927075414</v>
      </c>
      <c r="P113" s="10">
        <f>+'Indice PondENGHO'!P111/'Indice PondENGHO'!P99-1</f>
        <v>0.35975563155864854</v>
      </c>
      <c r="Q113" s="3">
        <f>+'Indice PondENGHO'!Q111/'Indice PondENGHO'!Q99-1</f>
        <v>0.24033112488350805</v>
      </c>
      <c r="R113" s="3">
        <f>+'Indice PondENGHO'!R111/'Indice PondENGHO'!R99-1</f>
        <v>0.15551861587396543</v>
      </c>
      <c r="S113" s="3">
        <f>+'Indice PondENGHO'!S111/'Indice PondENGHO'!S99-1</f>
        <v>0.40367849623077046</v>
      </c>
      <c r="T113" s="3">
        <f>+'Indice PondENGHO'!T111/'Indice PondENGHO'!T99-1</f>
        <v>0.19127359950815914</v>
      </c>
      <c r="U113" s="3">
        <f>+'Indice PondENGHO'!U111/'Indice PondENGHO'!U99-1</f>
        <v>0.28049610358049581</v>
      </c>
      <c r="V113" s="3">
        <f>+'Indice PondENGHO'!V111/'Indice PondENGHO'!V99-1</f>
        <v>0.32625079949415969</v>
      </c>
      <c r="W113" s="3">
        <f>+'Indice PondENGHO'!W111/'Indice PondENGHO'!W99-1</f>
        <v>0.36359817825379137</v>
      </c>
      <c r="X113" s="3">
        <f>+'Indice PondENGHO'!X111/'Indice PondENGHO'!X99-1</f>
        <v>0.28712786431552573</v>
      </c>
      <c r="Y113" s="3">
        <f>+'Indice PondENGHO'!Y111/'Indice PondENGHO'!Y99-1</f>
        <v>0.50188242799365956</v>
      </c>
      <c r="Z113" s="3">
        <f>+'Indice PondENGHO'!Z111/'Indice PondENGHO'!Z99-1</f>
        <v>0.40323346940019311</v>
      </c>
      <c r="AA113" s="11">
        <f>+'Indice PondENGHO'!AA111/'Indice PondENGHO'!AA99-1</f>
        <v>0.32988912875836784</v>
      </c>
      <c r="AB113" s="10">
        <f>+'Indice PondENGHO'!AB111/'Indice PondENGHO'!AB99-1</f>
        <v>0.35893925753979761</v>
      </c>
      <c r="AC113" s="3">
        <f>+'Indice PondENGHO'!AC111/'Indice PondENGHO'!AC99-1</f>
        <v>0.24192572699771731</v>
      </c>
      <c r="AD113" s="3">
        <f>+'Indice PondENGHO'!AD111/'Indice PondENGHO'!AD99-1</f>
        <v>0.15471675422861919</v>
      </c>
      <c r="AE113" s="3">
        <f>+'Indice PondENGHO'!AE111/'Indice PondENGHO'!AE99-1</f>
        <v>0.40554998147618027</v>
      </c>
      <c r="AF113" s="3">
        <f>+'Indice PondENGHO'!AF111/'Indice PondENGHO'!AF99-1</f>
        <v>0.19449111058850765</v>
      </c>
      <c r="AG113" s="3">
        <f>+'Indice PondENGHO'!AG111/'Indice PondENGHO'!AG99-1</f>
        <v>0.28201779655865389</v>
      </c>
      <c r="AH113" s="3">
        <f>+'Indice PondENGHO'!AH111/'Indice PondENGHO'!AH99-1</f>
        <v>0.32697878545523928</v>
      </c>
      <c r="AI113" s="3">
        <f>+'Indice PondENGHO'!AI111/'Indice PondENGHO'!AI99-1</f>
        <v>0.36567981197892951</v>
      </c>
      <c r="AJ113" s="3">
        <f>+'Indice PondENGHO'!AJ111/'Indice PondENGHO'!AJ99-1</f>
        <v>0.28904655667541501</v>
      </c>
      <c r="AK113" s="3">
        <f>+'Indice PondENGHO'!AK111/'Indice PondENGHO'!AK99-1</f>
        <v>0.4973365034702335</v>
      </c>
      <c r="AL113" s="3">
        <f>+'Indice PondENGHO'!AL111/'Indice PondENGHO'!AL99-1</f>
        <v>0.40507270660900629</v>
      </c>
      <c r="AM113" s="11">
        <f>+'Indice PondENGHO'!AM111/'Indice PondENGHO'!AM99-1</f>
        <v>0.33303054330282333</v>
      </c>
      <c r="AN113" s="10">
        <f>+'Indice PondENGHO'!AN111/'Indice PondENGHO'!AN99-1</f>
        <v>0.35782990560737504</v>
      </c>
      <c r="AO113" s="3">
        <f>+'Indice PondENGHO'!AO111/'Indice PondENGHO'!AO99-1</f>
        <v>0.24308917123894824</v>
      </c>
      <c r="AP113" s="3">
        <f>+'Indice PondENGHO'!AP111/'Indice PondENGHO'!AP99-1</f>
        <v>0.15564490079797588</v>
      </c>
      <c r="AQ113" s="3">
        <f>+'Indice PondENGHO'!AQ111/'Indice PondENGHO'!AQ99-1</f>
        <v>0.41041668653059182</v>
      </c>
      <c r="AR113" s="3">
        <f>+'Indice PondENGHO'!AR111/'Indice PondENGHO'!AR99-1</f>
        <v>0.19542902433113229</v>
      </c>
      <c r="AS113" s="3">
        <f>+'Indice PondENGHO'!AS111/'Indice PondENGHO'!AS99-1</f>
        <v>0.28173952693889048</v>
      </c>
      <c r="AT113" s="3">
        <f>+'Indice PondENGHO'!AT111/'Indice PondENGHO'!AT99-1</f>
        <v>0.33025365248560945</v>
      </c>
      <c r="AU113" s="3">
        <f>+'Indice PondENGHO'!AU111/'Indice PondENGHO'!AU99-1</f>
        <v>0.36689614967943229</v>
      </c>
      <c r="AV113" s="3">
        <f>+'Indice PondENGHO'!AV111/'Indice PondENGHO'!AV99-1</f>
        <v>0.28684385336163154</v>
      </c>
      <c r="AW113" s="3">
        <f>+'Indice PondENGHO'!AW111/'Indice PondENGHO'!AW99-1</f>
        <v>0.50227986011751202</v>
      </c>
      <c r="AX113" s="3">
        <f>+'Indice PondENGHO'!AX111/'Indice PondENGHO'!AX99-1</f>
        <v>0.40489572524755646</v>
      </c>
      <c r="AY113" s="11">
        <f>+'Indice PondENGHO'!AY111/'Indice PondENGHO'!AY99-1</f>
        <v>0.33585212494782768</v>
      </c>
      <c r="AZ113" s="10">
        <f>+'Indice PondENGHO'!AZ111/'Indice PondENGHO'!AZ99-1</f>
        <v>0.35739130445012179</v>
      </c>
      <c r="BA113" s="3">
        <f>+'Indice PondENGHO'!BA111/'Indice PondENGHO'!BA99-1</f>
        <v>0.24482545505420106</v>
      </c>
      <c r="BB113" s="3">
        <f>+'Indice PondENGHO'!BB111/'Indice PondENGHO'!BB99-1</f>
        <v>0.15600300246907906</v>
      </c>
      <c r="BC113" s="3">
        <f>+'Indice PondENGHO'!BC111/'Indice PondENGHO'!BC99-1</f>
        <v>0.41160145368296908</v>
      </c>
      <c r="BD113" s="3">
        <f>+'Indice PondENGHO'!BD111/'Indice PondENGHO'!BD99-1</f>
        <v>0.19936898942523329</v>
      </c>
      <c r="BE113" s="3">
        <f>+'Indice PondENGHO'!BE111/'Indice PondENGHO'!BE99-1</f>
        <v>0.28195242601565829</v>
      </c>
      <c r="BF113" s="3">
        <f>+'Indice PondENGHO'!BF111/'Indice PondENGHO'!BF99-1</f>
        <v>0.33279159710267447</v>
      </c>
      <c r="BG113" s="3">
        <f>+'Indice PondENGHO'!BG111/'Indice PondENGHO'!BG99-1</f>
        <v>0.3706836620099343</v>
      </c>
      <c r="BH113" s="3">
        <f>+'Indice PondENGHO'!BH111/'Indice PondENGHO'!BH99-1</f>
        <v>0.28480132577061812</v>
      </c>
      <c r="BI113" s="3">
        <f>+'Indice PondENGHO'!BI111/'Indice PondENGHO'!BI99-1</f>
        <v>0.47372867376839567</v>
      </c>
      <c r="BJ113" s="3">
        <f>+'Indice PondENGHO'!BJ111/'Indice PondENGHO'!BJ99-1</f>
        <v>0.4051020341571332</v>
      </c>
      <c r="BK113" s="11">
        <f>+'Indice PondENGHO'!BK111/'Indice PondENGHO'!BK99-1</f>
        <v>0.34250890955831448</v>
      </c>
      <c r="BL113" s="3">
        <f>+'Indice PondENGHO'!BL111/'Indice PondENGHO'!BL99-1</f>
        <v>0.32502974800203144</v>
      </c>
      <c r="BM113" s="3">
        <f>+'Indice PondENGHO'!BM111/'Indice PondENGHO'!BM99-1</f>
        <v>0.32516769415013003</v>
      </c>
      <c r="BN113" s="3">
        <f>+'Indice PondENGHO'!BN111/'Indice PondENGHO'!BN99-1</f>
        <v>0.32557634559753157</v>
      </c>
      <c r="BO113" s="3">
        <f>+'Indice PondENGHO'!BO111/'Indice PondENGHO'!BO99-1</f>
        <v>0.32486419917747056</v>
      </c>
      <c r="BP113" s="3">
        <f>+'Indice PondENGHO'!BP111/'Indice PondENGHO'!BP99-1</f>
        <v>0.32370708929020742</v>
      </c>
      <c r="BQ113" s="10">
        <f>+'Indice PondENGHO'!BQ111/'Indice PondENGHO'!BQ99-1</f>
        <v>0.35869220813586256</v>
      </c>
      <c r="BR113" s="3">
        <f>+'Indice PondENGHO'!BR111/'Indice PondENGHO'!BR99-1</f>
        <v>0.2421497084844737</v>
      </c>
      <c r="BS113" s="3">
        <f>+'Indice PondENGHO'!BS111/'Indice PondENGHO'!BS99-1</f>
        <v>0.15562789743180061</v>
      </c>
      <c r="BT113" s="3">
        <f>+'Indice PondENGHO'!BT111/'Indice PondENGHO'!BT99-1</f>
        <v>0.40805265452910544</v>
      </c>
      <c r="BU113" s="3">
        <f>+'Indice PondENGHO'!BU111/'Indice PondENGHO'!BU99-1</f>
        <v>0.19554130745687948</v>
      </c>
      <c r="BV113" s="3">
        <f>+'Indice PondENGHO'!BV111/'Indice PondENGHO'!BV99-1</f>
        <v>0.28163864070480438</v>
      </c>
      <c r="BW113" s="3">
        <f>+'Indice PondENGHO'!BW111/'Indice PondENGHO'!BW99-1</f>
        <v>0.32939603374916149</v>
      </c>
      <c r="BX113" s="3">
        <f>+'Indice PondENGHO'!BX111/'Indice PondENGHO'!BX99-1</f>
        <v>0.36632591286782112</v>
      </c>
      <c r="BY113" s="3">
        <f>+'Indice PondENGHO'!BY111/'Indice PondENGHO'!BY99-1</f>
        <v>0.28623902156501257</v>
      </c>
      <c r="BZ113" s="3">
        <f>+'Indice PondENGHO'!BZ111/'Indice PondENGHO'!BZ99-1</f>
        <v>0.49190982403719552</v>
      </c>
      <c r="CA113" s="3">
        <f>+'Indice PondENGHO'!CA111/'Indice PondENGHO'!CA99-1</f>
        <v>0.40461675674520947</v>
      </c>
      <c r="CB113" s="11">
        <f>+'Indice PondENGHO'!CB111/'Indice PondENGHO'!CB99-1</f>
        <v>0.33567258235832775</v>
      </c>
      <c r="CC113" s="3">
        <f>+'Indice PondENGHO'!CC111/'Indice PondENGHO'!CC99-1</f>
        <v>0.32468365420632628</v>
      </c>
      <c r="CD113" s="3">
        <f>+'Indice PondENGHO'!CD111/'Indice PondENGHO'!CD99-1</f>
        <v>0.32468365420632628</v>
      </c>
      <c r="CF113" s="3">
        <f t="shared" ref="CF113" si="107">+BL113-BP113</f>
        <v>1.3226587118240207E-3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3:BP113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3:CB11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zoomScaleNormal="85" workbookViewId="0">
      <selection activeCell="K5" sqref="K5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46023</v>
      </c>
      <c r="E6" s="59" t="s">
        <v>130</v>
      </c>
      <c r="F6" s="59">
        <v>1</v>
      </c>
      <c r="G6" s="76">
        <f>100*VLOOKUP($D$6,'Infla Mensual PondENGHO'!$A$3:$BP$100000,$C6)</f>
        <v>3.2018697348702219</v>
      </c>
      <c r="H6" s="61">
        <f>100*VLOOKUP($D$6,'Infla Interanual PondENGHO'!$A$3:$BP$100000,$C6)</f>
        <v>32.502974800203141</v>
      </c>
      <c r="I6" s="59"/>
      <c r="K6" s="66">
        <f>+DATE(P6,Q6,1)</f>
        <v>45658</v>
      </c>
      <c r="L6" s="38" t="s">
        <v>137</v>
      </c>
      <c r="M6" s="87">
        <f>100*VLOOKUP($K6,'Infla Mensual PondENGHO'!$A$3:'Infla Mensual PondENGHO'!$A$3:$BP$1000000,COLUMN($BL$1),FALSE)</f>
        <v>2.1683087926834599</v>
      </c>
      <c r="P6">
        <f>+YEAR(D6)-1</f>
        <v>2025</v>
      </c>
      <c r="Q6">
        <f>+MONTH(D6)</f>
        <v>1</v>
      </c>
      <c r="S6">
        <v>1</v>
      </c>
    </row>
    <row r="7" spans="1:19" x14ac:dyDescent="0.25">
      <c r="A7" s="59"/>
      <c r="B7" s="64">
        <f>+MAX('Infla Mensual PondENGHO'!A4:A100000)</f>
        <v>46023</v>
      </c>
      <c r="C7" s="59">
        <f>+C6+1</f>
        <v>65</v>
      </c>
      <c r="D7" s="64">
        <f t="shared" ref="D7:D10" si="0">+$B$7</f>
        <v>46023</v>
      </c>
      <c r="E7" s="59"/>
      <c r="F7" s="59">
        <f>+F6+1</f>
        <v>2</v>
      </c>
      <c r="G7" s="76">
        <f>100*VLOOKUP($D$6,'Infla Mensual PondENGHO'!$A$3:$BP$100000,$C7)</f>
        <v>3.0184803261636306</v>
      </c>
      <c r="H7" s="61">
        <f>100*VLOOKUP($D$6,'Infla Interanual PondENGHO'!$A$3:$BP$100000,$C7)</f>
        <v>32.516769415013002</v>
      </c>
      <c r="I7" s="59"/>
      <c r="K7" s="66">
        <f t="shared" ref="K7:K18" si="1">+DATE(P7,Q7,1)</f>
        <v>45689</v>
      </c>
      <c r="L7" s="38" t="s">
        <v>137</v>
      </c>
      <c r="M7" s="87">
        <f>100*VLOOKUP($K7,'Infla Mensual PondENGHO'!$A$3:'Infla Mensual PondENGHO'!$A$3:$BP$1000000,COLUMN($BL$1),FALSE)</f>
        <v>2.5431625266019386</v>
      </c>
      <c r="P7">
        <f>+IF(Q6=12,P6+1,P6)</f>
        <v>2025</v>
      </c>
      <c r="Q7">
        <f>+IF(Q6=12,1,Q6+1)</f>
        <v>2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46023</v>
      </c>
      <c r="E8" s="59"/>
      <c r="F8" s="59">
        <f t="shared" ref="F8:F9" si="3">+F7+1</f>
        <v>3</v>
      </c>
      <c r="G8" s="76">
        <f>100*VLOOKUP($D$6,'Infla Mensual PondENGHO'!$A$3:$BP$100000,$C8)</f>
        <v>2.9644033619464327</v>
      </c>
      <c r="H8" s="61">
        <f>100*VLOOKUP($D$6,'Infla Interanual PondENGHO'!$A$3:$BP$100000,$C8)</f>
        <v>32.557634559753154</v>
      </c>
      <c r="I8" s="59"/>
      <c r="K8" s="66">
        <f t="shared" si="1"/>
        <v>45717</v>
      </c>
      <c r="L8" s="38" t="s">
        <v>137</v>
      </c>
      <c r="M8" s="87">
        <f>100*VLOOKUP($K8,'Infla Mensual PondENGHO'!$A$3:'Infla Mensual PondENGHO'!$A$3:$BP$1000000,COLUMN($BL$1),FALSE)</f>
        <v>4.0417766602393046</v>
      </c>
      <c r="P8">
        <f t="shared" ref="P8:P17" si="4">+IF(Q7=12,P7+1,P7)</f>
        <v>2025</v>
      </c>
      <c r="Q8">
        <f t="shared" ref="Q8:Q17" si="5">+IF(Q7=12,1,Q7+1)</f>
        <v>3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46023</v>
      </c>
      <c r="E9" s="59"/>
      <c r="F9" s="59">
        <f t="shared" si="3"/>
        <v>4</v>
      </c>
      <c r="G9" s="76">
        <f>100*VLOOKUP($D$6,'Infla Mensual PondENGHO'!$A$3:$BP$100000,$C9)</f>
        <v>2.8496842715682646</v>
      </c>
      <c r="H9" s="61">
        <f>100*VLOOKUP($D$6,'Infla Interanual PondENGHO'!$A$3:$BP$100000,$C9)</f>
        <v>32.486419917747057</v>
      </c>
      <c r="I9" s="59"/>
      <c r="K9" s="66">
        <f t="shared" si="1"/>
        <v>45748</v>
      </c>
      <c r="L9" s="38" t="s">
        <v>137</v>
      </c>
      <c r="M9" s="87">
        <f>100*VLOOKUP($K9,'Infla Mensual PondENGHO'!$A$3:'Infla Mensual PondENGHO'!$A$3:$BP$1000000,COLUMN($BL$1),FALSE)</f>
        <v>2.8504308700224357</v>
      </c>
      <c r="P9">
        <f t="shared" si="4"/>
        <v>2025</v>
      </c>
      <c r="Q9">
        <f t="shared" si="5"/>
        <v>4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46023</v>
      </c>
      <c r="E10" s="59" t="s">
        <v>131</v>
      </c>
      <c r="F10" s="59">
        <v>5</v>
      </c>
      <c r="G10" s="76">
        <f>100*VLOOKUP($D$6,'Infla Mensual PondENGHO'!$A$3:$BP$100000,$C10)</f>
        <v>2.7163190275482085</v>
      </c>
      <c r="H10" s="61">
        <f>100*VLOOKUP($D$6,'Infla Interanual PondENGHO'!$A$3:$BP$100000,$C10)</f>
        <v>32.370708929020743</v>
      </c>
      <c r="I10" s="59"/>
      <c r="K10" s="66">
        <f t="shared" si="1"/>
        <v>45778</v>
      </c>
      <c r="L10" s="38" t="s">
        <v>137</v>
      </c>
      <c r="M10" s="87">
        <f>100*VLOOKUP($K10,'Infla Mensual PondENGHO'!$A$3:'Infla Mensual PondENGHO'!$A$3:$BP$1000000,COLUMN($BL$1),FALSE)</f>
        <v>1.2751313421927479</v>
      </c>
      <c r="P10">
        <f t="shared" si="4"/>
        <v>2025</v>
      </c>
      <c r="Q10">
        <f t="shared" si="5"/>
        <v>5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45809</v>
      </c>
      <c r="L11" s="38" t="s">
        <v>137</v>
      </c>
      <c r="M11" s="87">
        <f>100*VLOOKUP($K11,'Infla Mensual PondENGHO'!$A$3:'Infla Mensual PondENGHO'!$A$3:$BP$1000000,COLUMN($BL$1),FALSE)</f>
        <v>1.2950143399720782</v>
      </c>
      <c r="P11">
        <f t="shared" si="4"/>
        <v>2025</v>
      </c>
      <c r="Q11">
        <f t="shared" si="5"/>
        <v>6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0.48555070732201333</v>
      </c>
      <c r="H12" s="77">
        <f t="shared" ref="H12" si="7">+H6-H10</f>
        <v>0.13226587118239763</v>
      </c>
      <c r="I12" s="59"/>
      <c r="K12" s="66">
        <f t="shared" si="1"/>
        <v>45839</v>
      </c>
      <c r="L12" s="38" t="s">
        <v>137</v>
      </c>
      <c r="M12" s="87">
        <f>100*VLOOKUP($K12,'Infla Mensual PondENGHO'!$A$3:'Infla Mensual PondENGHO'!$A$3:$BP$1000000,COLUMN($BL$1),FALSE)</f>
        <v>1.803644664052495</v>
      </c>
      <c r="P12">
        <f t="shared" si="4"/>
        <v>2025</v>
      </c>
      <c r="Q12">
        <f t="shared" si="5"/>
        <v>7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45870</v>
      </c>
      <c r="L13" s="38" t="s">
        <v>137</v>
      </c>
      <c r="M13" s="87">
        <f>100*VLOOKUP($K13,'Infla Mensual PondENGHO'!$A$3:'Infla Mensual PondENGHO'!$A$3:$BP$1000000,COLUMN($BL$1),FALSE)</f>
        <v>1.7303095323675466</v>
      </c>
      <c r="P13">
        <f t="shared" si="4"/>
        <v>2025</v>
      </c>
      <c r="Q13">
        <f t="shared" si="5"/>
        <v>8</v>
      </c>
      <c r="S13">
        <f t="shared" si="6"/>
        <v>8</v>
      </c>
    </row>
    <row r="14" spans="1:19" x14ac:dyDescent="0.25">
      <c r="K14" s="66">
        <f t="shared" si="1"/>
        <v>45901</v>
      </c>
      <c r="L14" s="38" t="s">
        <v>137</v>
      </c>
      <c r="M14" s="87">
        <f>100*VLOOKUP($K14,'Infla Mensual PondENGHO'!$A$3:'Infla Mensual PondENGHO'!$A$3:$BP$1000000,COLUMN($BL$1),FALSE)</f>
        <v>2.0373502502535779</v>
      </c>
      <c r="P14">
        <f t="shared" si="4"/>
        <v>2025</v>
      </c>
      <c r="Q14">
        <f t="shared" si="5"/>
        <v>9</v>
      </c>
      <c r="S14">
        <f t="shared" si="6"/>
        <v>9</v>
      </c>
    </row>
    <row r="15" spans="1:19" x14ac:dyDescent="0.25">
      <c r="K15" s="66">
        <f t="shared" si="1"/>
        <v>45931</v>
      </c>
      <c r="L15" s="38" t="s">
        <v>137</v>
      </c>
      <c r="M15" s="87">
        <f>100*VLOOKUP($K15,'Infla Mensual PondENGHO'!$A$3:'Infla Mensual PondENGHO'!$A$3:$BP$1000000,COLUMN($BL$1),FALSE)</f>
        <v>2.312266576693256</v>
      </c>
      <c r="P15">
        <f t="shared" si="4"/>
        <v>2025</v>
      </c>
      <c r="Q15">
        <f t="shared" si="5"/>
        <v>10</v>
      </c>
      <c r="S15">
        <f t="shared" si="6"/>
        <v>10</v>
      </c>
    </row>
    <row r="16" spans="1:19" x14ac:dyDescent="0.25">
      <c r="K16" s="66">
        <f t="shared" si="1"/>
        <v>45962</v>
      </c>
      <c r="L16" s="38" t="s">
        <v>137</v>
      </c>
      <c r="M16" s="87">
        <f>100*VLOOKUP($K16,'Infla Mensual PondENGHO'!$A$3:'Infla Mensual PondENGHO'!$A$3:$BP$1000000,COLUMN($BL$1),FALSE)</f>
        <v>2.4974389921325058</v>
      </c>
      <c r="P16">
        <f t="shared" si="4"/>
        <v>2025</v>
      </c>
      <c r="Q16">
        <f t="shared" si="5"/>
        <v>11</v>
      </c>
      <c r="S16">
        <f t="shared" si="6"/>
        <v>11</v>
      </c>
    </row>
    <row r="17" spans="8:19" x14ac:dyDescent="0.25">
      <c r="K17" s="66">
        <f t="shared" si="1"/>
        <v>45992</v>
      </c>
      <c r="L17" s="38" t="s">
        <v>137</v>
      </c>
      <c r="M17" s="87">
        <f>100*VLOOKUP($K17,'Infla Mensual PondENGHO'!$A$3:'Infla Mensual PondENGHO'!$A$3:$BP$1000000,COLUMN($BL$1),FALSE)</f>
        <v>2.9231360334402323</v>
      </c>
      <c r="P17">
        <f t="shared" si="4"/>
        <v>2025</v>
      </c>
      <c r="Q17">
        <f t="shared" si="5"/>
        <v>12</v>
      </c>
      <c r="S17">
        <f t="shared" si="6"/>
        <v>12</v>
      </c>
    </row>
    <row r="18" spans="8:19" x14ac:dyDescent="0.25">
      <c r="K18" s="66">
        <f t="shared" si="1"/>
        <v>46023</v>
      </c>
      <c r="L18" s="38" t="s">
        <v>137</v>
      </c>
      <c r="M18" s="87">
        <f>100*VLOOKUP($K18,'Infla Mensual PondENGHO'!$A$3:'Infla Mensual PondENGHO'!$A$3:$BP$1000000,COLUMN($BL$1),FALSE)</f>
        <v>3.2018697348702219</v>
      </c>
      <c r="P18">
        <f t="shared" ref="P18" si="8">+IF(Q17=12,P17+1,P17)</f>
        <v>2026</v>
      </c>
      <c r="Q18">
        <f t="shared" ref="Q18" si="9">+IF(Q17=12,1,Q17+1)</f>
        <v>1</v>
      </c>
      <c r="S18">
        <f t="shared" ref="S18" si="10">+S17+1</f>
        <v>13</v>
      </c>
    </row>
    <row r="19" spans="8:19" x14ac:dyDescent="0.25">
      <c r="K19" s="66">
        <f>+K6</f>
        <v>45658</v>
      </c>
      <c r="L19" s="38" t="s">
        <v>138</v>
      </c>
      <c r="M19" s="87">
        <f>100*VLOOKUP($K19,'Infla Mensual PondENGHO'!$A$3:'Infla Mensual PondENGHO'!$A$3:$BP$1000000,COLUMN($BM$1),FALSE)</f>
        <v>2.1830068820724913</v>
      </c>
    </row>
    <row r="20" spans="8:19" x14ac:dyDescent="0.25">
      <c r="K20" s="66">
        <f t="shared" ref="K20:K70" si="11">+K7</f>
        <v>45689</v>
      </c>
      <c r="L20" s="38" t="s">
        <v>138</v>
      </c>
      <c r="M20" s="87">
        <f>100*VLOOKUP($K20,'Infla Mensual PondENGHO'!$A$3:'Infla Mensual PondENGHO'!$A$3:$BP$1000000,COLUMN($BM$1),FALSE)</f>
        <v>2.4840247490863998</v>
      </c>
    </row>
    <row r="21" spans="8:19" x14ac:dyDescent="0.25">
      <c r="K21" s="66">
        <f t="shared" si="11"/>
        <v>45717</v>
      </c>
      <c r="L21" s="38" t="s">
        <v>138</v>
      </c>
      <c r="M21" s="87">
        <f>100*VLOOKUP($K21,'Infla Mensual PondENGHO'!$A$3:'Infla Mensual PondENGHO'!$A$3:$BP$1000000,COLUMN($BM$1),FALSE)</f>
        <v>3.8886727251923991</v>
      </c>
    </row>
    <row r="22" spans="8:19" x14ac:dyDescent="0.25">
      <c r="H22" s="58"/>
      <c r="K22" s="66">
        <f t="shared" si="11"/>
        <v>45748</v>
      </c>
      <c r="L22" s="38" t="s">
        <v>138</v>
      </c>
      <c r="M22" s="87">
        <f>100*VLOOKUP($K22,'Infla Mensual PondENGHO'!$A$3:'Infla Mensual PondENGHO'!$A$3:$BP$1000000,COLUMN($BM$1),FALSE)</f>
        <v>2.8020849967455463</v>
      </c>
    </row>
    <row r="23" spans="8:19" x14ac:dyDescent="0.25">
      <c r="K23" s="66">
        <f t="shared" si="11"/>
        <v>45778</v>
      </c>
      <c r="L23" s="38" t="s">
        <v>138</v>
      </c>
      <c r="M23" s="87">
        <f>100*VLOOKUP($K23,'Infla Mensual PondENGHO'!$A$3:'Infla Mensual PondENGHO'!$A$3:$BP$1000000,COLUMN($BM$1),FALSE)</f>
        <v>1.3733404112175052</v>
      </c>
    </row>
    <row r="24" spans="8:19" x14ac:dyDescent="0.25">
      <c r="K24" s="66">
        <f t="shared" si="11"/>
        <v>45809</v>
      </c>
      <c r="L24" s="38" t="s">
        <v>138</v>
      </c>
      <c r="M24" s="87">
        <f>100*VLOOKUP($K24,'Infla Mensual PondENGHO'!$A$3:'Infla Mensual PondENGHO'!$A$3:$BP$1000000,COLUMN($BM$1),FALSE)</f>
        <v>1.4541447415141295</v>
      </c>
    </row>
    <row r="25" spans="8:19" x14ac:dyDescent="0.25">
      <c r="K25" s="66">
        <f t="shared" si="11"/>
        <v>45839</v>
      </c>
      <c r="L25" s="38" t="s">
        <v>138</v>
      </c>
      <c r="M25" s="87">
        <f>100*VLOOKUP($K25,'Infla Mensual PondENGHO'!$A$3:'Infla Mensual PondENGHO'!$A$3:$BP$1000000,COLUMN($BM$1),FALSE)</f>
        <v>1.856971382087691</v>
      </c>
    </row>
    <row r="26" spans="8:19" x14ac:dyDescent="0.25">
      <c r="K26" s="66">
        <f t="shared" si="11"/>
        <v>45870</v>
      </c>
      <c r="L26" s="38" t="s">
        <v>138</v>
      </c>
      <c r="M26" s="87">
        <f>100*VLOOKUP($K26,'Infla Mensual PondENGHO'!$A$3:'Infla Mensual PondENGHO'!$A$3:$BP$1000000,COLUMN($BM$1),FALSE)</f>
        <v>1.8475699510283272</v>
      </c>
    </row>
    <row r="27" spans="8:19" x14ac:dyDescent="0.25">
      <c r="K27" s="66">
        <f t="shared" si="11"/>
        <v>45901</v>
      </c>
      <c r="L27" s="38" t="s">
        <v>138</v>
      </c>
      <c r="M27" s="87">
        <f>100*VLOOKUP($K27,'Infla Mensual PondENGHO'!$A$3:'Infla Mensual PondENGHO'!$A$3:$BP$1000000,COLUMN($BM$1),FALSE)</f>
        <v>2.0784270904638857</v>
      </c>
    </row>
    <row r="28" spans="8:19" x14ac:dyDescent="0.25">
      <c r="K28" s="66">
        <f t="shared" si="11"/>
        <v>45931</v>
      </c>
      <c r="L28" s="38" t="s">
        <v>138</v>
      </c>
      <c r="M28" s="87">
        <f>100*VLOOKUP($K28,'Infla Mensual PondENGHO'!$A$3:'Infla Mensual PondENGHO'!$A$3:$BP$1000000,COLUMN($BM$1),FALSE)</f>
        <v>2.34032582024577</v>
      </c>
    </row>
    <row r="29" spans="8:19" x14ac:dyDescent="0.25">
      <c r="K29" s="66">
        <f t="shared" si="11"/>
        <v>45962</v>
      </c>
      <c r="L29" s="38" t="s">
        <v>138</v>
      </c>
      <c r="M29" s="87">
        <f>100*VLOOKUP($K29,'Infla Mensual PondENGHO'!$A$3:'Infla Mensual PondENGHO'!$A$3:$BP$1000000,COLUMN($BM$1),FALSE)</f>
        <v>2.489415958118002</v>
      </c>
    </row>
    <row r="30" spans="8:19" x14ac:dyDescent="0.25">
      <c r="K30" s="66">
        <f t="shared" si="11"/>
        <v>45992</v>
      </c>
      <c r="L30" s="38" t="s">
        <v>138</v>
      </c>
      <c r="M30" s="87">
        <f>100*VLOOKUP($K30,'Infla Mensual PondENGHO'!$A$3:'Infla Mensual PondENGHO'!$A$3:$BP$1000000,COLUMN($BM$1),FALSE)</f>
        <v>2.8808734356978949</v>
      </c>
    </row>
    <row r="31" spans="8:19" x14ac:dyDescent="0.25">
      <c r="K31" s="66">
        <f t="shared" si="11"/>
        <v>46023</v>
      </c>
      <c r="L31" s="38" t="s">
        <v>138</v>
      </c>
      <c r="M31" s="87">
        <f>100*VLOOKUP($K31,'Infla Mensual PondENGHO'!$A$3:'Infla Mensual PondENGHO'!$A$3:$BP$1000000,COLUMN($BM$1),FALSE)</f>
        <v>3.0184803261636306</v>
      </c>
    </row>
    <row r="32" spans="8:19" x14ac:dyDescent="0.25">
      <c r="K32" s="66">
        <f t="shared" si="11"/>
        <v>45658</v>
      </c>
      <c r="L32" s="38" t="s">
        <v>139</v>
      </c>
      <c r="M32" s="87">
        <f>100*VLOOKUP($K32,'Infla Mensual PondENGHO'!$A$3:'Infla Mensual PondENGHO'!$A$3:$BP$1000000,COLUMN($BN$1),FALSE)</f>
        <v>2.2057149321017544</v>
      </c>
    </row>
    <row r="33" spans="11:13" x14ac:dyDescent="0.25">
      <c r="K33" s="66">
        <f t="shared" si="11"/>
        <v>45689</v>
      </c>
      <c r="L33" s="38" t="s">
        <v>139</v>
      </c>
      <c r="M33" s="87">
        <f>100*VLOOKUP($K33,'Infla Mensual PondENGHO'!$A$3:'Infla Mensual PondENGHO'!$A$3:$BP$1000000,COLUMN($BN$1),FALSE)</f>
        <v>2.4691478137405909</v>
      </c>
    </row>
    <row r="34" spans="11:13" x14ac:dyDescent="0.25">
      <c r="K34" s="66">
        <f t="shared" si="11"/>
        <v>45717</v>
      </c>
      <c r="L34" s="38" t="s">
        <v>139</v>
      </c>
      <c r="M34" s="87">
        <f>100*VLOOKUP($K34,'Infla Mensual PondENGHO'!$A$3:'Infla Mensual PondENGHO'!$A$3:$BP$1000000,COLUMN($BN$1),FALSE)</f>
        <v>3.8639102225477062</v>
      </c>
    </row>
    <row r="35" spans="11:13" x14ac:dyDescent="0.25">
      <c r="K35" s="66">
        <f t="shared" si="11"/>
        <v>45748</v>
      </c>
      <c r="L35" s="38" t="s">
        <v>139</v>
      </c>
      <c r="M35" s="87">
        <f>100*VLOOKUP($K35,'Infla Mensual PondENGHO'!$A$3:'Infla Mensual PondENGHO'!$A$3:$BP$1000000,COLUMN($BN$1),FALSE)</f>
        <v>2.7920156390233597</v>
      </c>
    </row>
    <row r="36" spans="11:13" x14ac:dyDescent="0.25">
      <c r="K36" s="66">
        <f t="shared" si="11"/>
        <v>45778</v>
      </c>
      <c r="L36" s="38" t="s">
        <v>139</v>
      </c>
      <c r="M36" s="87">
        <f>100*VLOOKUP($K36,'Infla Mensual PondENGHO'!$A$3:'Infla Mensual PondENGHO'!$A$3:$BP$1000000,COLUMN($BN$1),FALSE)</f>
        <v>1.4599080955532528</v>
      </c>
    </row>
    <row r="37" spans="11:13" x14ac:dyDescent="0.25">
      <c r="K37" s="66">
        <f t="shared" si="11"/>
        <v>45809</v>
      </c>
      <c r="L37" s="38" t="s">
        <v>139</v>
      </c>
      <c r="M37" s="87">
        <f>100*VLOOKUP($K37,'Infla Mensual PondENGHO'!$A$3:'Infla Mensual PondENGHO'!$A$3:$BP$1000000,COLUMN($BN$1),FALSE)</f>
        <v>1.5219308921756269</v>
      </c>
    </row>
    <row r="38" spans="11:13" x14ac:dyDescent="0.25">
      <c r="K38" s="66">
        <f t="shared" si="11"/>
        <v>45839</v>
      </c>
      <c r="L38" s="38" t="s">
        <v>139</v>
      </c>
      <c r="M38" s="87">
        <f>100*VLOOKUP($K38,'Infla Mensual PondENGHO'!$A$3:'Infla Mensual PondENGHO'!$A$3:$BP$1000000,COLUMN($BN$1),FALSE)</f>
        <v>1.8732068346340558</v>
      </c>
    </row>
    <row r="39" spans="11:13" x14ac:dyDescent="0.25">
      <c r="K39" s="66">
        <f t="shared" si="11"/>
        <v>45870</v>
      </c>
      <c r="L39" s="38" t="s">
        <v>139</v>
      </c>
      <c r="M39" s="87">
        <f>100*VLOOKUP($K39,'Infla Mensual PondENGHO'!$A$3:'Infla Mensual PondENGHO'!$A$3:$BP$1000000,COLUMN($BN$1),FALSE)</f>
        <v>1.8536726191060948</v>
      </c>
    </row>
    <row r="40" spans="11:13" x14ac:dyDescent="0.25">
      <c r="K40" s="66">
        <f t="shared" si="11"/>
        <v>45901</v>
      </c>
      <c r="L40" s="38" t="s">
        <v>139</v>
      </c>
      <c r="M40" s="87">
        <f>100*VLOOKUP($K40,'Infla Mensual PondENGHO'!$A$3:'Infla Mensual PondENGHO'!$A$3:$BP$1000000,COLUMN($BN$1),FALSE)</f>
        <v>2.0891709320997265</v>
      </c>
    </row>
    <row r="41" spans="11:13" x14ac:dyDescent="0.25">
      <c r="K41" s="66">
        <f t="shared" si="11"/>
        <v>45931</v>
      </c>
      <c r="L41" s="38" t="s">
        <v>139</v>
      </c>
      <c r="M41" s="87">
        <f>100*VLOOKUP($K41,'Infla Mensual PondENGHO'!$A$3:'Infla Mensual PondENGHO'!$A$3:$BP$1000000,COLUMN($BN$1),FALSE)</f>
        <v>2.3415086838504795</v>
      </c>
    </row>
    <row r="42" spans="11:13" x14ac:dyDescent="0.25">
      <c r="K42" s="66">
        <f t="shared" si="11"/>
        <v>45962</v>
      </c>
      <c r="L42" s="38" t="s">
        <v>139</v>
      </c>
      <c r="M42" s="87">
        <f>100*VLOOKUP($K42,'Infla Mensual PondENGHO'!$A$3:'Infla Mensual PondENGHO'!$A$3:$BP$1000000,COLUMN($BN$1),FALSE)</f>
        <v>2.4852827280616552</v>
      </c>
    </row>
    <row r="43" spans="11:13" x14ac:dyDescent="0.25">
      <c r="K43" s="66">
        <f t="shared" si="11"/>
        <v>45992</v>
      </c>
      <c r="L43" s="38" t="s">
        <v>139</v>
      </c>
      <c r="M43" s="87">
        <f>100*VLOOKUP($K43,'Infla Mensual PondENGHO'!$A$3:'Infla Mensual PondENGHO'!$A$3:$BP$1000000,COLUMN($BN$1),FALSE)</f>
        <v>2.8292014605382887</v>
      </c>
    </row>
    <row r="44" spans="11:13" x14ac:dyDescent="0.25">
      <c r="K44" s="66">
        <f t="shared" si="11"/>
        <v>46023</v>
      </c>
      <c r="L44" s="38" t="s">
        <v>139</v>
      </c>
      <c r="M44" s="87">
        <f>100*VLOOKUP($K44,'Infla Mensual PondENGHO'!$A$3:'Infla Mensual PondENGHO'!$A$3:$BP$1000000,COLUMN($BN$1),FALSE)</f>
        <v>2.9644033619464327</v>
      </c>
    </row>
    <row r="45" spans="11:13" x14ac:dyDescent="0.25">
      <c r="K45" s="66">
        <f t="shared" si="11"/>
        <v>45658</v>
      </c>
      <c r="L45" s="38" t="s">
        <v>140</v>
      </c>
      <c r="M45" s="87">
        <f>100*VLOOKUP($K45,'Infla Mensual PondENGHO'!$A$3:'Infla Mensual PondENGHO'!$A$3:$BP$1000000,COLUMN($BO$1),FALSE)</f>
        <v>2.2236804360479923</v>
      </c>
    </row>
    <row r="46" spans="11:13" x14ac:dyDescent="0.25">
      <c r="K46" s="66">
        <f t="shared" si="11"/>
        <v>45689</v>
      </c>
      <c r="L46" s="38" t="s">
        <v>140</v>
      </c>
      <c r="M46" s="87">
        <f>100*VLOOKUP($K46,'Infla Mensual PondENGHO'!$A$3:'Infla Mensual PondENGHO'!$A$3:$BP$1000000,COLUMN($BO$1),FALSE)</f>
        <v>2.41015151821935</v>
      </c>
    </row>
    <row r="47" spans="11:13" x14ac:dyDescent="0.25">
      <c r="K47" s="66">
        <f t="shared" si="11"/>
        <v>45717</v>
      </c>
      <c r="L47" s="38" t="s">
        <v>140</v>
      </c>
      <c r="M47" s="87">
        <f>100*VLOOKUP($K47,'Infla Mensual PondENGHO'!$A$3:'Infla Mensual PondENGHO'!$A$3:$BP$1000000,COLUMN($BO$1),FALSE)</f>
        <v>3.6876381454772567</v>
      </c>
    </row>
    <row r="48" spans="11:13" x14ac:dyDescent="0.25">
      <c r="K48" s="66">
        <f t="shared" si="11"/>
        <v>45748</v>
      </c>
      <c r="L48" s="38" t="s">
        <v>140</v>
      </c>
      <c r="M48" s="87">
        <f>100*VLOOKUP($K48,'Infla Mensual PondENGHO'!$A$3:'Infla Mensual PondENGHO'!$A$3:$BP$1000000,COLUMN($BO$1),FALSE)</f>
        <v>2.7676350255949611</v>
      </c>
    </row>
    <row r="49" spans="11:13" x14ac:dyDescent="0.25">
      <c r="K49" s="66">
        <f t="shared" si="11"/>
        <v>45778</v>
      </c>
      <c r="L49" s="38" t="s">
        <v>140</v>
      </c>
      <c r="M49" s="87">
        <f>100*VLOOKUP($K49,'Infla Mensual PondENGHO'!$A$3:'Infla Mensual PondENGHO'!$A$3:$BP$1000000,COLUMN($BO$1),FALSE)</f>
        <v>1.5163439517204891</v>
      </c>
    </row>
    <row r="50" spans="11:13" x14ac:dyDescent="0.25">
      <c r="K50" s="66">
        <f t="shared" si="11"/>
        <v>45809</v>
      </c>
      <c r="L50" s="38" t="s">
        <v>140</v>
      </c>
      <c r="M50" s="87">
        <f>100*VLOOKUP($K50,'Infla Mensual PondENGHO'!$A$3:'Infla Mensual PondENGHO'!$A$3:$BP$1000000,COLUMN($BO$1),FALSE)</f>
        <v>1.6314289096683643</v>
      </c>
    </row>
    <row r="51" spans="11:13" x14ac:dyDescent="0.25">
      <c r="K51" s="66">
        <f t="shared" si="11"/>
        <v>45839</v>
      </c>
      <c r="L51" s="38" t="s">
        <v>140</v>
      </c>
      <c r="M51" s="87">
        <f>100*VLOOKUP($K51,'Infla Mensual PondENGHO'!$A$3:'Infla Mensual PondENGHO'!$A$3:$BP$1000000,COLUMN($BO$1),FALSE)</f>
        <v>1.9287987231903614</v>
      </c>
    </row>
    <row r="52" spans="11:13" x14ac:dyDescent="0.25">
      <c r="K52" s="66">
        <f t="shared" si="11"/>
        <v>45870</v>
      </c>
      <c r="L52" s="38" t="s">
        <v>140</v>
      </c>
      <c r="M52" s="87">
        <f>100*VLOOKUP($K52,'Infla Mensual PondENGHO'!$A$3:'Infla Mensual PondENGHO'!$A$3:$BP$1000000,COLUMN($BO$1),FALSE)</f>
        <v>1.9263572562809195</v>
      </c>
    </row>
    <row r="53" spans="11:13" x14ac:dyDescent="0.25">
      <c r="K53" s="66">
        <f t="shared" si="11"/>
        <v>45901</v>
      </c>
      <c r="L53" s="38" t="s">
        <v>140</v>
      </c>
      <c r="M53" s="87">
        <f>100*VLOOKUP($K53,'Infla Mensual PondENGHO'!$A$3:'Infla Mensual PondENGHO'!$A$3:$BP$1000000,COLUMN($BO$1),FALSE)</f>
        <v>2.1056557796722997</v>
      </c>
    </row>
    <row r="54" spans="11:13" x14ac:dyDescent="0.25">
      <c r="K54" s="66">
        <f t="shared" si="11"/>
        <v>45931</v>
      </c>
      <c r="L54" s="38" t="s">
        <v>140</v>
      </c>
      <c r="M54" s="87">
        <f>100*VLOOKUP($K54,'Infla Mensual PondENGHO'!$A$3:'Infla Mensual PondENGHO'!$A$3:$BP$1000000,COLUMN($BO$1),FALSE)</f>
        <v>2.3532995768112963</v>
      </c>
    </row>
    <row r="55" spans="11:13" x14ac:dyDescent="0.25">
      <c r="K55" s="66">
        <f t="shared" si="11"/>
        <v>45962</v>
      </c>
      <c r="L55" s="38" t="s">
        <v>140</v>
      </c>
      <c r="M55" s="87">
        <f>100*VLOOKUP($K55,'Infla Mensual PondENGHO'!$A$3:'Infla Mensual PondENGHO'!$A$3:$BP$1000000,COLUMN($BO$1),FALSE)</f>
        <v>2.4748870872465689</v>
      </c>
    </row>
    <row r="56" spans="11:13" x14ac:dyDescent="0.25">
      <c r="K56" s="66">
        <f t="shared" si="11"/>
        <v>45992</v>
      </c>
      <c r="L56" s="38" t="s">
        <v>140</v>
      </c>
      <c r="M56" s="87">
        <f>100*VLOOKUP($K56,'Infla Mensual PondENGHO'!$A$3:'Infla Mensual PondENGHO'!$A$3:$BP$1000000,COLUMN($BO$1),FALSE)</f>
        <v>2.8313516715476661</v>
      </c>
    </row>
    <row r="57" spans="11:13" x14ac:dyDescent="0.25">
      <c r="K57" s="66">
        <f t="shared" si="11"/>
        <v>46023</v>
      </c>
      <c r="L57" s="38" t="s">
        <v>140</v>
      </c>
      <c r="M57" s="87">
        <f>100*VLOOKUP($K57,'Infla Mensual PondENGHO'!$A$3:'Infla Mensual PondENGHO'!$A$3:$BP$1000000,COLUMN($BO$1),FALSE)</f>
        <v>2.8496842715682646</v>
      </c>
    </row>
    <row r="58" spans="11:13" x14ac:dyDescent="0.25">
      <c r="K58" s="66">
        <f t="shared" si="11"/>
        <v>45658</v>
      </c>
      <c r="L58" s="38" t="s">
        <v>141</v>
      </c>
      <c r="M58" s="87">
        <f>100*VLOOKUP($K58,'Infla Mensual PondENGHO'!$A$3:'Infla Mensual PondENGHO'!$A$3:$BP$1000000,COLUMN($BP$1),FALSE)</f>
        <v>2.3088842860465864</v>
      </c>
    </row>
    <row r="59" spans="11:13" x14ac:dyDescent="0.25">
      <c r="K59" s="66">
        <f t="shared" si="11"/>
        <v>45689</v>
      </c>
      <c r="L59" s="38" t="s">
        <v>141</v>
      </c>
      <c r="M59" s="87">
        <f>100*VLOOKUP($K59,'Infla Mensual PondENGHO'!$A$3:'Infla Mensual PondENGHO'!$A$3:$BP$1000000,COLUMN($BP$1),FALSE)</f>
        <v>2.3463202163408026</v>
      </c>
    </row>
    <row r="60" spans="11:13" x14ac:dyDescent="0.25">
      <c r="K60" s="66">
        <f t="shared" si="11"/>
        <v>45717</v>
      </c>
      <c r="L60" s="38" t="s">
        <v>141</v>
      </c>
      <c r="M60" s="87">
        <f>100*VLOOKUP($K60,'Infla Mensual PondENGHO'!$A$3:'Infla Mensual PondENGHO'!$A$3:$BP$1000000,COLUMN($BP$1),FALSE)</f>
        <v>3.4934655305836726</v>
      </c>
    </row>
    <row r="61" spans="11:13" x14ac:dyDescent="0.25">
      <c r="K61" s="66">
        <f t="shared" si="11"/>
        <v>45748</v>
      </c>
      <c r="L61" s="38" t="s">
        <v>141</v>
      </c>
      <c r="M61" s="87">
        <f>100*VLOOKUP($K61,'Infla Mensual PondENGHO'!$A$3:'Infla Mensual PondENGHO'!$A$3:$BP$1000000,COLUMN($BP$1),FALSE)</f>
        <v>2.7452917023244927</v>
      </c>
    </row>
    <row r="62" spans="11:13" x14ac:dyDescent="0.25">
      <c r="K62" s="66">
        <f t="shared" si="11"/>
        <v>45778</v>
      </c>
      <c r="L62" s="38" t="s">
        <v>141</v>
      </c>
      <c r="M62" s="87">
        <f>100*VLOOKUP($K62,'Infla Mensual PondENGHO'!$A$3:'Infla Mensual PondENGHO'!$A$3:$BP$1000000,COLUMN($BP$1),FALSE)</f>
        <v>1.6435099364626282</v>
      </c>
    </row>
    <row r="63" spans="11:13" x14ac:dyDescent="0.25">
      <c r="K63" s="66">
        <f t="shared" si="11"/>
        <v>45809</v>
      </c>
      <c r="L63" s="38" t="s">
        <v>141</v>
      </c>
      <c r="M63" s="87">
        <f>100*VLOOKUP($K63,'Infla Mensual PondENGHO'!$A$3:'Infla Mensual PondENGHO'!$A$3:$BP$1000000,COLUMN($BP$1),FALSE)</f>
        <v>1.8209352879243301</v>
      </c>
    </row>
    <row r="64" spans="11:13" x14ac:dyDescent="0.25">
      <c r="K64" s="66">
        <f t="shared" si="11"/>
        <v>45839</v>
      </c>
      <c r="L64" s="38" t="s">
        <v>141</v>
      </c>
      <c r="M64" s="87">
        <f>100*VLOOKUP($K64,'Infla Mensual PondENGHO'!$A$3:'Infla Mensual PondENGHO'!$A$3:$BP$1000000,COLUMN($BP$1),FALSE)</f>
        <v>1.9805482283514531</v>
      </c>
    </row>
    <row r="65" spans="11:13" x14ac:dyDescent="0.25">
      <c r="K65" s="66">
        <f t="shared" si="11"/>
        <v>45870</v>
      </c>
      <c r="L65" s="38" t="s">
        <v>141</v>
      </c>
      <c r="M65" s="87">
        <f>100*VLOOKUP($K65,'Infla Mensual PondENGHO'!$A$3:'Infla Mensual PondENGHO'!$A$3:$BP$1000000,COLUMN($BP$1),FALSE)</f>
        <v>1.9529831860293001</v>
      </c>
    </row>
    <row r="66" spans="11:13" x14ac:dyDescent="0.25">
      <c r="K66" s="66">
        <f t="shared" si="11"/>
        <v>45901</v>
      </c>
      <c r="L66" s="38" t="s">
        <v>141</v>
      </c>
      <c r="M66" s="87">
        <f>100*VLOOKUP($K66,'Infla Mensual PondENGHO'!$A$3:'Infla Mensual PondENGHO'!$A$3:$BP$1000000,COLUMN($BP$1),FALSE)</f>
        <v>2.1050594042087312</v>
      </c>
    </row>
    <row r="67" spans="11:13" x14ac:dyDescent="0.25">
      <c r="K67" s="66">
        <f t="shared" si="11"/>
        <v>45931</v>
      </c>
      <c r="L67" s="38" t="s">
        <v>141</v>
      </c>
      <c r="M67" s="87">
        <f>100*VLOOKUP($K67,'Infla Mensual PondENGHO'!$A$3:'Infla Mensual PondENGHO'!$A$3:$BP$1000000,COLUMN($BP$1),FALSE)</f>
        <v>2.3412916233022996</v>
      </c>
    </row>
    <row r="68" spans="11:13" x14ac:dyDescent="0.25">
      <c r="K68" s="66">
        <f t="shared" si="11"/>
        <v>45962</v>
      </c>
      <c r="L68" s="38" t="s">
        <v>141</v>
      </c>
      <c r="M68" s="87">
        <f>100*VLOOKUP($K68,'Infla Mensual PondENGHO'!$A$3:'Infla Mensual PondENGHO'!$A$3:$BP$1000000,COLUMN($BP$1),FALSE)</f>
        <v>2.4563295754381542</v>
      </c>
    </row>
    <row r="69" spans="11:13" x14ac:dyDescent="0.25">
      <c r="K69" s="66">
        <f t="shared" si="11"/>
        <v>45992</v>
      </c>
      <c r="L69" s="38" t="s">
        <v>141</v>
      </c>
      <c r="M69" s="87">
        <f>100*VLOOKUP($K69,'Infla Mensual PondENGHO'!$A$3:'Infla Mensual PondENGHO'!$A$3:$BP$1000000,COLUMN($BP$1),FALSE)</f>
        <v>2.7861004716862148</v>
      </c>
    </row>
    <row r="70" spans="11:13" x14ac:dyDescent="0.25">
      <c r="K70" s="66">
        <f t="shared" si="11"/>
        <v>46023</v>
      </c>
      <c r="L70" s="38" t="s">
        <v>141</v>
      </c>
      <c r="M70" s="87">
        <f>100*VLOOKUP($K70,'Infla Mensual PondENGHO'!$A$3:'Infla Mensual PondENGHO'!$A$3:$BP$1000000,COLUMN($BP$1),FALSE)</f>
        <v>2.7163190275482085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2026-02-11T20:45:36Z</dcterms:modified>
</cp:coreProperties>
</file>